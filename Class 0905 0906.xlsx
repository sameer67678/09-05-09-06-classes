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bookViews>
    <workbookView xWindow="0" yWindow="0" windowWidth="23040" windowHeight="8688" activeTab="9"/>
  </bookViews>
  <sheets>
    <sheet name="vlookup" sheetId="1" r:id="rId1"/>
    <sheet name="xlookup" sheetId="2" r:id="rId2"/>
    <sheet name="Sheet3" sheetId="3" r:id="rId3"/>
    <sheet name="hllokup" sheetId="4" r:id="rId4"/>
    <sheet name="Match" sheetId="5" r:id="rId5"/>
    <sheet name="Sheet6" sheetId="6" r:id="rId6"/>
    <sheet name="0906" sheetId="7" r:id="rId7"/>
    <sheet name="index match" sheetId="8" r:id="rId8"/>
    <sheet name="Sheet4" sheetId="9" r:id="rId9"/>
    <sheet name="Sheet5" sheetId="10" r:id="rId10"/>
  </sheets>
  <definedNames>
    <definedName name="_xlnm._FilterDatabase" localSheetId="6" hidden="1">'0906'!$E$4:$M$94</definedName>
    <definedName name="_xlnm._FilterDatabase" localSheetId="2" hidden="1">Sheet3!$A$1:$K$30</definedName>
    <definedName name="_xlnm._FilterDatabase" localSheetId="8" hidden="1">Sheet4!$A$1:$O$51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0" l="1"/>
  <c r="N27" i="10"/>
  <c r="M25" i="10"/>
  <c r="N26" i="10" s="1"/>
  <c r="N19" i="10"/>
  <c r="N18" i="10"/>
  <c r="N20" i="10" s="1"/>
  <c r="B25" i="10"/>
  <c r="B26" i="10"/>
  <c r="I20" i="10"/>
  <c r="H20" i="10"/>
  <c r="H19" i="10"/>
  <c r="H18" i="10"/>
  <c r="L3" i="10"/>
  <c r="P10" i="10"/>
  <c r="P9" i="10"/>
  <c r="P6" i="10"/>
  <c r="N10" i="10"/>
  <c r="N7" i="10"/>
  <c r="N6" i="10"/>
  <c r="J3" i="10"/>
  <c r="AB14" i="9"/>
  <c r="AA14" i="9"/>
  <c r="Z15" i="9"/>
  <c r="Z16" i="9"/>
  <c r="Z17" i="9"/>
  <c r="Z18" i="9"/>
  <c r="Z14" i="9"/>
  <c r="Y15" i="9"/>
  <c r="Y16" i="9"/>
  <c r="Y17" i="9"/>
  <c r="Y18" i="9"/>
  <c r="Y14" i="9"/>
  <c r="X15" i="9"/>
  <c r="X16" i="9"/>
  <c r="X17" i="9"/>
  <c r="X18" i="9"/>
  <c r="X14" i="9"/>
  <c r="W15" i="9"/>
  <c r="W16" i="9"/>
  <c r="W17" i="9"/>
  <c r="W18" i="9"/>
  <c r="W14" i="9"/>
  <c r="V15" i="9"/>
  <c r="V16" i="9"/>
  <c r="V17" i="9"/>
  <c r="V18" i="9"/>
  <c r="V14" i="9"/>
  <c r="U15" i="9"/>
  <c r="U16" i="9"/>
  <c r="U17" i="9"/>
  <c r="U18" i="9"/>
  <c r="U14" i="9"/>
  <c r="R21" i="9"/>
  <c r="R19" i="9"/>
  <c r="R18" i="9"/>
  <c r="R15" i="9"/>
  <c r="S7" i="9"/>
  <c r="S8" i="9"/>
  <c r="S9" i="9"/>
  <c r="S10" i="9"/>
  <c r="S6" i="9"/>
  <c r="R7" i="9"/>
  <c r="R8" i="9"/>
  <c r="R9" i="9"/>
  <c r="R10" i="9"/>
  <c r="R6" i="9"/>
  <c r="N4" i="8"/>
  <c r="M9" i="7"/>
  <c r="M7" i="7"/>
  <c r="M5" i="7"/>
  <c r="M4" i="7"/>
  <c r="B4" i="7"/>
  <c r="B5" i="7"/>
  <c r="B6" i="7"/>
  <c r="B7" i="7"/>
  <c r="B3" i="7"/>
  <c r="N22" i="10" l="1"/>
  <c r="N21" i="10"/>
  <c r="N3" i="6"/>
  <c r="N4" i="6"/>
  <c r="N2" i="6"/>
  <c r="M3" i="6"/>
  <c r="M4" i="6"/>
  <c r="M2" i="6"/>
  <c r="L4" i="6"/>
  <c r="L3" i="6"/>
  <c r="L2" i="6"/>
  <c r="K3" i="6"/>
  <c r="K4" i="6"/>
  <c r="K2" i="6"/>
  <c r="J4" i="6"/>
  <c r="J3" i="6"/>
  <c r="J2" i="6"/>
  <c r="N9" i="5"/>
  <c r="H19" i="5"/>
  <c r="I16" i="5"/>
  <c r="F20" i="5"/>
  <c r="F19" i="5"/>
  <c r="F16" i="5"/>
  <c r="F15" i="5"/>
  <c r="K12" i="5"/>
  <c r="K10" i="5"/>
  <c r="I9" i="5"/>
  <c r="J2" i="4"/>
  <c r="H2" i="4"/>
  <c r="O16" i="3"/>
  <c r="M15" i="3"/>
  <c r="M14" i="3"/>
  <c r="O11" i="3"/>
  <c r="O10" i="3"/>
  <c r="N11" i="3"/>
  <c r="N10" i="3"/>
  <c r="Q3" i="3"/>
  <c r="Q4" i="3"/>
  <c r="Q2" i="3"/>
  <c r="P3" i="3"/>
  <c r="P4" i="3"/>
  <c r="P2" i="3"/>
  <c r="O3" i="3"/>
  <c r="O4" i="3"/>
  <c r="O2" i="3"/>
  <c r="N3" i="3"/>
  <c r="N4" i="3"/>
  <c r="N2" i="3"/>
  <c r="C17" i="1"/>
  <c r="C18" i="1"/>
  <c r="C19" i="1"/>
  <c r="C16" i="1"/>
  <c r="B17" i="1"/>
  <c r="B18" i="1"/>
  <c r="B19" i="1"/>
  <c r="B16" i="1"/>
  <c r="L5" i="1"/>
  <c r="J3" i="1"/>
  <c r="J4" i="1"/>
  <c r="J5" i="1"/>
  <c r="J6" i="1"/>
  <c r="J7" i="1"/>
  <c r="J8" i="1"/>
  <c r="J9" i="1"/>
  <c r="J10" i="1"/>
  <c r="J11" i="1"/>
  <c r="J2" i="1"/>
  <c r="H6" i="1"/>
  <c r="G3" i="1"/>
</calcChain>
</file>

<file path=xl/sharedStrings.xml><?xml version="1.0" encoding="utf-8"?>
<sst xmlns="http://schemas.openxmlformats.org/spreadsheetml/2006/main" count="1601" uniqueCount="563">
  <si>
    <t>Product_ID</t>
  </si>
  <si>
    <t>Product_Name</t>
  </si>
  <si>
    <t>Category</t>
  </si>
  <si>
    <t>Unit_Price</t>
  </si>
  <si>
    <t>Supplier</t>
  </si>
  <si>
    <t>P101</t>
  </si>
  <si>
    <t>Laptop</t>
  </si>
  <si>
    <t>Electronics</t>
  </si>
  <si>
    <t>HP</t>
  </si>
  <si>
    <t>P102</t>
  </si>
  <si>
    <t>Keyboard</t>
  </si>
  <si>
    <t>Logitech</t>
  </si>
  <si>
    <t>P103</t>
  </si>
  <si>
    <t>Office Chair</t>
  </si>
  <si>
    <t>Furniture</t>
  </si>
  <si>
    <t>FeatherLite</t>
  </si>
  <si>
    <t>P104</t>
  </si>
  <si>
    <t>Desk</t>
  </si>
  <si>
    <t>IKEA</t>
  </si>
  <si>
    <t>P105</t>
  </si>
  <si>
    <t>Mouse</t>
  </si>
  <si>
    <t>P106</t>
  </si>
  <si>
    <t>Printer</t>
  </si>
  <si>
    <t>Canon</t>
  </si>
  <si>
    <t>P107</t>
  </si>
  <si>
    <t>Monitor</t>
  </si>
  <si>
    <t>Dell</t>
  </si>
  <si>
    <t>P108</t>
  </si>
  <si>
    <t>Bookshelf</t>
  </si>
  <si>
    <t>P109</t>
  </si>
  <si>
    <t>Headphones</t>
  </si>
  <si>
    <t>Sony</t>
  </si>
  <si>
    <t>P110</t>
  </si>
  <si>
    <t>Webcam</t>
  </si>
  <si>
    <t>Lenovo</t>
  </si>
  <si>
    <t>Product Name</t>
  </si>
  <si>
    <t>Unit</t>
  </si>
  <si>
    <t>Suplier</t>
  </si>
  <si>
    <t>EID</t>
  </si>
  <si>
    <t>Name</t>
  </si>
  <si>
    <t>Age</t>
  </si>
  <si>
    <t>Gender</t>
  </si>
  <si>
    <t>Department</t>
  </si>
  <si>
    <t>Job_Role</t>
  </si>
  <si>
    <t>Salary</t>
  </si>
  <si>
    <t>Experience_Years</t>
  </si>
  <si>
    <t>City</t>
  </si>
  <si>
    <t>Joining_Date</t>
  </si>
  <si>
    <t>Performance_Rating</t>
  </si>
  <si>
    <t>Rahul Sharma</t>
  </si>
  <si>
    <t>Male</t>
  </si>
  <si>
    <t>IT</t>
  </si>
  <si>
    <t>Developer</t>
  </si>
  <si>
    <t>Delhi</t>
  </si>
  <si>
    <t>Priya Verma</t>
  </si>
  <si>
    <t>Female</t>
  </si>
  <si>
    <t>HR</t>
  </si>
  <si>
    <t>HR Manager</t>
  </si>
  <si>
    <t>Mumbai</t>
  </si>
  <si>
    <t>Amit Kumar</t>
  </si>
  <si>
    <t>Finance</t>
  </si>
  <si>
    <t>Accountant</t>
  </si>
  <si>
    <t>Sneha Singh</t>
  </si>
  <si>
    <t>Data Analyst</t>
  </si>
  <si>
    <t>Bangalore</t>
  </si>
  <si>
    <t>Rohit Gupta</t>
  </si>
  <si>
    <t>Sales</t>
  </si>
  <si>
    <t>Sales Manager</t>
  </si>
  <si>
    <t>Pune</t>
  </si>
  <si>
    <t>Neha Kapoor</t>
  </si>
  <si>
    <t>Marketing</t>
  </si>
  <si>
    <t>Executive</t>
  </si>
  <si>
    <t>Vikram Mehta</t>
  </si>
  <si>
    <t>Team Lead</t>
  </si>
  <si>
    <t>Hyderabad</t>
  </si>
  <si>
    <t>Anjali Rao</t>
  </si>
  <si>
    <t>Financial Analyst</t>
  </si>
  <si>
    <t>Karan Malhotra</t>
  </si>
  <si>
    <t>Sales Executive</t>
  </si>
  <si>
    <t>Pooja Sharma</t>
  </si>
  <si>
    <t>Recruiter</t>
  </si>
  <si>
    <t>Arjun Patel</t>
  </si>
  <si>
    <t>Ahmedabad</t>
  </si>
  <si>
    <t>Meena Joshi</t>
  </si>
  <si>
    <t>Finance Manager</t>
  </si>
  <si>
    <t>Suresh Yadav</t>
  </si>
  <si>
    <t>Jaipur</t>
  </si>
  <si>
    <t>Kavita Nair</t>
  </si>
  <si>
    <t>Project Manager</t>
  </si>
  <si>
    <t>Manish Verma</t>
  </si>
  <si>
    <t>Chennai</t>
  </si>
  <si>
    <t>Riya Kapoor</t>
  </si>
  <si>
    <t>HR Executive</t>
  </si>
  <si>
    <t>Deepak Singh</t>
  </si>
  <si>
    <t>Senior Developer</t>
  </si>
  <si>
    <t>Nisha Agarwal</t>
  </si>
  <si>
    <t>Marketing Manager</t>
  </si>
  <si>
    <t>Varun Shah</t>
  </si>
  <si>
    <t>Simran Kaur</t>
  </si>
  <si>
    <t>Chandigarh</t>
  </si>
  <si>
    <t>Akash Jain</t>
  </si>
  <si>
    <t>Architect</t>
  </si>
  <si>
    <t>Divya Menon</t>
  </si>
  <si>
    <t>Kochi</t>
  </si>
  <si>
    <t>Naveen Reddy</t>
  </si>
  <si>
    <t>Shweta Mishra</t>
  </si>
  <si>
    <t>Lucknow</t>
  </si>
  <si>
    <t>Rajesh Kumar</t>
  </si>
  <si>
    <t>IT Manager</t>
  </si>
  <si>
    <t>Tanya Gupta</t>
  </si>
  <si>
    <t>Mohit Bansal</t>
  </si>
  <si>
    <t>Senior Accountant</t>
  </si>
  <si>
    <t>Ayesha Khan</t>
  </si>
  <si>
    <t>Sanjay Patel</t>
  </si>
  <si>
    <t>EMP ID</t>
  </si>
  <si>
    <t>AGE</t>
  </si>
  <si>
    <t>JOBROLE</t>
  </si>
  <si>
    <t>SALARY</t>
  </si>
  <si>
    <t>Mani</t>
  </si>
  <si>
    <t>Gani</t>
  </si>
  <si>
    <t>Dani</t>
  </si>
  <si>
    <t>Pani</t>
  </si>
  <si>
    <t>M</t>
  </si>
  <si>
    <t>F</t>
  </si>
  <si>
    <t>Match function will give the position of the search value</t>
  </si>
  <si>
    <t>Index function will give data based on position</t>
  </si>
  <si>
    <t>Match</t>
  </si>
  <si>
    <t>Index</t>
  </si>
  <si>
    <t>Posiiton of lenove</t>
  </si>
  <si>
    <t>Match &amp; Index</t>
  </si>
  <si>
    <t>Supplier of Mouse find based on Index &amp; Match function</t>
  </si>
  <si>
    <t>How unit price of printer</t>
  </si>
  <si>
    <t>Emp_ID</t>
  </si>
  <si>
    <t>Dept</t>
  </si>
  <si>
    <t>Index-match</t>
  </si>
  <si>
    <t>Jatin</t>
  </si>
  <si>
    <t>E4178</t>
  </si>
  <si>
    <t>E4181</t>
  </si>
  <si>
    <t>Vipul</t>
  </si>
  <si>
    <t>E4179</t>
  </si>
  <si>
    <t>E4193</t>
  </si>
  <si>
    <t>Mridul</t>
  </si>
  <si>
    <t>E4180</t>
  </si>
  <si>
    <t>Kanchan</t>
  </si>
  <si>
    <t>Vibhor</t>
  </si>
  <si>
    <t>E4182</t>
  </si>
  <si>
    <t>Admin</t>
  </si>
  <si>
    <t>Shubham</t>
  </si>
  <si>
    <t>E4183</t>
  </si>
  <si>
    <t>Niharika</t>
  </si>
  <si>
    <t>E4184</t>
  </si>
  <si>
    <t>Ujjwal</t>
  </si>
  <si>
    <t>E4185</t>
  </si>
  <si>
    <t>Xlookup</t>
  </si>
  <si>
    <t>Vivek</t>
  </si>
  <si>
    <t>E4186</t>
  </si>
  <si>
    <t>E4191</t>
  </si>
  <si>
    <t>Manan</t>
  </si>
  <si>
    <t>E4187</t>
  </si>
  <si>
    <t>Ritwik</t>
  </si>
  <si>
    <t>E4188</t>
  </si>
  <si>
    <t>Rishabh</t>
  </si>
  <si>
    <t>E4189</t>
  </si>
  <si>
    <t>Logistics</t>
  </si>
  <si>
    <t>Shubhi</t>
  </si>
  <si>
    <t>E4190</t>
  </si>
  <si>
    <t>Jyotsana</t>
  </si>
  <si>
    <t>Priyank</t>
  </si>
  <si>
    <t>E4192</t>
  </si>
  <si>
    <t>Hitesh</t>
  </si>
  <si>
    <t>Sonali</t>
  </si>
  <si>
    <t>E4194</t>
  </si>
  <si>
    <t>Kartik</t>
  </si>
  <si>
    <t>E4195</t>
  </si>
  <si>
    <t>card</t>
  </si>
  <si>
    <t>Location</t>
  </si>
  <si>
    <t>Start Date</t>
  </si>
  <si>
    <t>Ab Lehrian</t>
  </si>
  <si>
    <t>NULL</t>
  </si>
  <si>
    <t>3 Redmond Way
Bellevue, WA
USA</t>
  </si>
  <si>
    <t>Abbie Tann</t>
  </si>
  <si>
    <t>Business Development</t>
  </si>
  <si>
    <t>$1,16,518.12</t>
  </si>
  <si>
    <t>24-05-2019</t>
  </si>
  <si>
    <t>Abe Gayter</t>
  </si>
  <si>
    <t>Training</t>
  </si>
  <si>
    <t>Abigael Basire</t>
  </si>
  <si>
    <t>Engineering</t>
  </si>
  <si>
    <t>8 Parliament Lane - Wellington, NZ</t>
  </si>
  <si>
    <t>19-08-2019</t>
  </si>
  <si>
    <t>21-05-2020</t>
  </si>
  <si>
    <t>Abramo Labbez</t>
  </si>
  <si>
    <t>Research and Development</t>
  </si>
  <si>
    <t>27-07-2019</t>
  </si>
  <si>
    <t>Abran Danielsky</t>
  </si>
  <si>
    <t>1 Infinite Loop, Los Angels, CA, USA</t>
  </si>
  <si>
    <t>17-05-2020</t>
  </si>
  <si>
    <t>Addi Studdeard</t>
  </si>
  <si>
    <t>Product Management</t>
  </si>
  <si>
    <t>17-07-2020</t>
  </si>
  <si>
    <t>Addia Penwright</t>
  </si>
  <si>
    <t>20-07-2019</t>
  </si>
  <si>
    <t>Addy Pimblett</t>
  </si>
  <si>
    <t>Adela Dowsett</t>
  </si>
  <si>
    <t>Support</t>
  </si>
  <si>
    <t>15-11-2019</t>
  </si>
  <si>
    <t>Adelina Cheeseman</t>
  </si>
  <si>
    <t>Adella Hartshorne</t>
  </si>
  <si>
    <t>Human Resources</t>
  </si>
  <si>
    <t>Adey Ryal</t>
  </si>
  <si>
    <t>Legal</t>
  </si>
  <si>
    <t>28-11-2019</t>
  </si>
  <si>
    <t>Adi Seawright</t>
  </si>
  <si>
    <t>Adolph Hartin</t>
  </si>
  <si>
    <t>19-06-2019</t>
  </si>
  <si>
    <t>Adolph McNalley</t>
  </si>
  <si>
    <t>27-04-2019</t>
  </si>
  <si>
    <t>Adrianne Gave</t>
  </si>
  <si>
    <t>26-01-2019</t>
  </si>
  <si>
    <t>Aeriela Aickin</t>
  </si>
  <si>
    <t>Aeriell Cuell</t>
  </si>
  <si>
    <t>$1,08,285.34</t>
  </si>
  <si>
    <t>Agnes Collicott</t>
  </si>
  <si>
    <t>21-01-2020</t>
  </si>
  <si>
    <t>Aida Bleacher</t>
  </si>
  <si>
    <t>Aile Strathearn</t>
  </si>
  <si>
    <t>$1,14,597.86</t>
  </si>
  <si>
    <t>25-02-2019</t>
  </si>
  <si>
    <t>Aileen McCritchie</t>
  </si>
  <si>
    <t>21-02-2020</t>
  </si>
  <si>
    <t>Aindrea Lenormand</t>
  </si>
  <si>
    <t>23-02-2020</t>
  </si>
  <si>
    <t>Aldrich Glenny</t>
  </si>
  <si>
    <t>Aleksandr Botha</t>
  </si>
  <si>
    <t>19-03-2019</t>
  </si>
  <si>
    <t>Alexandros Rackley</t>
  </si>
  <si>
    <t>Alexine Portail</t>
  </si>
  <si>
    <t>18-04-2019</t>
  </si>
  <si>
    <t>Alexis Gotfrey</t>
  </si>
  <si>
    <t>$1,14,465.93</t>
  </si>
  <si>
    <t>Alford Gerardi</t>
  </si>
  <si>
    <t>16-03-2019</t>
  </si>
  <si>
    <t>Alfred Peplay</t>
  </si>
  <si>
    <t>20-12-2019</t>
  </si>
  <si>
    <t>Ali Roubert</t>
  </si>
  <si>
    <t>18-04-2020</t>
  </si>
  <si>
    <t>Alic Bagg</t>
  </si>
  <si>
    <t>$1,13,747.56</t>
  </si>
  <si>
    <t>28-09-2019</t>
  </si>
  <si>
    <t>Alicea Pudsall</t>
  </si>
  <si>
    <t>Accounting</t>
  </si>
  <si>
    <t>Alida Welman</t>
  </si>
  <si>
    <t>29-01-2019</t>
  </si>
  <si>
    <t>Alikee Jecock</t>
  </si>
  <si>
    <t>28-03-2019</t>
  </si>
  <si>
    <t>Alisha Bloschke</t>
  </si>
  <si>
    <t>Alissa Schoenfisch</t>
  </si>
  <si>
    <t>21-01-2019</t>
  </si>
  <si>
    <t>Allene Gobbet</t>
  </si>
  <si>
    <t>15-02-2020</t>
  </si>
  <si>
    <t>Allyce Hincham</t>
  </si>
  <si>
    <t>$1,01,421.18</t>
  </si>
  <si>
    <t>16-09-2019</t>
  </si>
  <si>
    <t>Aloise MacCathay</t>
  </si>
  <si>
    <t>Aloisia Minto</t>
  </si>
  <si>
    <t>27-07-2020</t>
  </si>
  <si>
    <t>Alta Kaszper</t>
  </si>
  <si>
    <t>Althea Bronger</t>
  </si>
  <si>
    <t>$1,04,335.04</t>
  </si>
  <si>
    <t>25-12-2019</t>
  </si>
  <si>
    <t>Aluin Churly</t>
  </si>
  <si>
    <t>Alvie Keming</t>
  </si>
  <si>
    <t>Alyosha Riquet</t>
  </si>
  <si>
    <t>14-07-2020</t>
  </si>
  <si>
    <t>Alysa Wankling</t>
  </si>
  <si>
    <t>$1,06,462.05</t>
  </si>
  <si>
    <t>29-06-2020</t>
  </si>
  <si>
    <t>Amaleta Baltzar</t>
  </si>
  <si>
    <t>15-09-2019</t>
  </si>
  <si>
    <t>Amandy Jope</t>
  </si>
  <si>
    <t>13-07-2020</t>
  </si>
  <si>
    <t>Ambros Murthwaite</t>
  </si>
  <si>
    <t>Ambrosio Daniely</t>
  </si>
  <si>
    <t>Amii Elms</t>
  </si>
  <si>
    <t>13-06-2020</t>
  </si>
  <si>
    <t>Amitie Mawson</t>
  </si>
  <si>
    <t>$1,16,496.77</t>
  </si>
  <si>
    <t>Anabal Cooke</t>
  </si>
  <si>
    <t>Ancell Moretto</t>
  </si>
  <si>
    <t>Andrea Becker</t>
  </si>
  <si>
    <t>27-06-2019</t>
  </si>
  <si>
    <t>Andrea Penfold</t>
  </si>
  <si>
    <t>Andria Kimpton</t>
  </si>
  <si>
    <t>Angela Bangley</t>
  </si>
  <si>
    <t>26-02-2020</t>
  </si>
  <si>
    <t>Angeline Christophersen</t>
  </si>
  <si>
    <t>24-09-2019</t>
  </si>
  <si>
    <t>Anjanette Ferre</t>
  </si>
  <si>
    <t>Anjela Spancock</t>
  </si>
  <si>
    <t>26-04-2019</t>
  </si>
  <si>
    <t>Anne-corinne Daulby</t>
  </si>
  <si>
    <t>19-09-2019</t>
  </si>
  <si>
    <t>Anni Dinse</t>
  </si>
  <si>
    <t>$1,19,667.65</t>
  </si>
  <si>
    <t>24-08-2019</t>
  </si>
  <si>
    <t>Anni Izzard</t>
  </si>
  <si>
    <t>$1,03,494.94</t>
  </si>
  <si>
    <t>20-06-2020</t>
  </si>
  <si>
    <t>Ansley Gounel</t>
  </si>
  <si>
    <t>28-05-2019</t>
  </si>
  <si>
    <t>26-11-2019</t>
  </si>
  <si>
    <t>Antone Tolmie</t>
  </si>
  <si>
    <t>$1,10,815.53</t>
  </si>
  <si>
    <t>24-03-2019</t>
  </si>
  <si>
    <t>Antonetta Coggeshall</t>
  </si>
  <si>
    <t>Antonino Forsdicke</t>
  </si>
  <si>
    <t>Appolonia Snook</t>
  </si>
  <si>
    <t>Services</t>
  </si>
  <si>
    <t>Archaimbaud Pinchin</t>
  </si>
  <si>
    <t>21-04-2020</t>
  </si>
  <si>
    <t>Archibald Dyzart</t>
  </si>
  <si>
    <t>Archibald Filliskirk</t>
  </si>
  <si>
    <t>16-02-2019</t>
  </si>
  <si>
    <t>Ardella Dyment</t>
  </si>
  <si>
    <t>23-06-2019</t>
  </si>
  <si>
    <t>Aretha Ettridge</t>
  </si>
  <si>
    <t>31-03-2019</t>
  </si>
  <si>
    <t>Arlie Newcombe</t>
  </si>
  <si>
    <t>Arty Duigan</t>
  </si>
  <si>
    <t>$1,08,597.72</t>
  </si>
  <si>
    <t>Ashien Gallen</t>
  </si>
  <si>
    <t>$1,15,076.66</t>
  </si>
  <si>
    <t>if salary is more than 30000 then select the card</t>
  </si>
  <si>
    <t>Male count</t>
  </si>
  <si>
    <t>Slect department using vlookup</t>
  </si>
  <si>
    <t>Find out the posiiton of training department</t>
  </si>
  <si>
    <t>Show with department in positin 6</t>
  </si>
  <si>
    <t>show department of Ab Lehrian</t>
  </si>
  <si>
    <t>Index &amp; Match function</t>
  </si>
  <si>
    <t>Customer_ID</t>
  </si>
  <si>
    <t>Customer_Name</t>
  </si>
  <si>
    <t>Product_Category</t>
  </si>
  <si>
    <t>Product</t>
  </si>
  <si>
    <t>Price</t>
  </si>
  <si>
    <t>Quantity</t>
  </si>
  <si>
    <t>Order_Date</t>
  </si>
  <si>
    <t>Payment_Mode</t>
  </si>
  <si>
    <t>Loan_Amount</t>
  </si>
  <si>
    <t>Loan_Tenure</t>
  </si>
  <si>
    <t>Interest_Rate</t>
  </si>
  <si>
    <t>Loan_Status</t>
  </si>
  <si>
    <t>C001</t>
  </si>
  <si>
    <t>UPI</t>
  </si>
  <si>
    <t>Approved</t>
  </si>
  <si>
    <t>C002</t>
  </si>
  <si>
    <t>Fashion</t>
  </si>
  <si>
    <t>Dress</t>
  </si>
  <si>
    <t>Credit Card</t>
  </si>
  <si>
    <t>C003</t>
  </si>
  <si>
    <t>Chair</t>
  </si>
  <si>
    <t>Net Banking</t>
  </si>
  <si>
    <t>Neha Singh</t>
  </si>
  <si>
    <t>Noida</t>
  </si>
  <si>
    <t>Rejected</t>
  </si>
  <si>
    <t>C005</t>
  </si>
  <si>
    <t>Gurgaon</t>
  </si>
  <si>
    <t>Mobile</t>
  </si>
  <si>
    <t>C006</t>
  </si>
  <si>
    <t>Anjali Mehta</t>
  </si>
  <si>
    <t>Beauty</t>
  </si>
  <si>
    <t>Skincare Kit</t>
  </si>
  <si>
    <t>C007</t>
  </si>
  <si>
    <t>Vikas Yadav</t>
  </si>
  <si>
    <t>Grocery</t>
  </si>
  <si>
    <t>Rice Bag</t>
  </si>
  <si>
    <t>Cash</t>
  </si>
  <si>
    <t>C008</t>
  </si>
  <si>
    <t>Saree</t>
  </si>
  <si>
    <t>C009</t>
  </si>
  <si>
    <t>Suresh Patel</t>
  </si>
  <si>
    <t>Tablet</t>
  </si>
  <si>
    <t>C010</t>
  </si>
  <si>
    <t>Kavita Rao</t>
  </si>
  <si>
    <t>Home &amp; Kitchen</t>
  </si>
  <si>
    <t>Mixer</t>
  </si>
  <si>
    <t>C011</t>
  </si>
  <si>
    <t>Arjun Malhotra</t>
  </si>
  <si>
    <t>C012</t>
  </si>
  <si>
    <t>Shoes</t>
  </si>
  <si>
    <t>C013</t>
  </si>
  <si>
    <t>Manish Jain</t>
  </si>
  <si>
    <t>Table</t>
  </si>
  <si>
    <t>C014</t>
  </si>
  <si>
    <t>Perfume</t>
  </si>
  <si>
    <t>C015</t>
  </si>
  <si>
    <t>Deepak Verma</t>
  </si>
  <si>
    <t>Refrigerator</t>
  </si>
  <si>
    <t>C016</t>
  </si>
  <si>
    <t>Sneha Iyer</t>
  </si>
  <si>
    <t>Coffee</t>
  </si>
  <si>
    <t>C017</t>
  </si>
  <si>
    <t>Karan Singh</t>
  </si>
  <si>
    <t>Sofa</t>
  </si>
  <si>
    <t>C018</t>
  </si>
  <si>
    <t>Handbag</t>
  </si>
  <si>
    <t>C019</t>
  </si>
  <si>
    <t>TV</t>
  </si>
  <si>
    <t>C020</t>
  </si>
  <si>
    <t>Divya Shah</t>
  </si>
  <si>
    <t>Cookware</t>
  </si>
  <si>
    <t>C021</t>
  </si>
  <si>
    <t>Nitin Arora</t>
  </si>
  <si>
    <t>C022</t>
  </si>
  <si>
    <t>Jeans</t>
  </si>
  <si>
    <t>C023</t>
  </si>
  <si>
    <t>Mohit Agarwal</t>
  </si>
  <si>
    <t>Bed</t>
  </si>
  <si>
    <t>C024</t>
  </si>
  <si>
    <t>Isha Gupta</t>
  </si>
  <si>
    <t>Makeup Kit</t>
  </si>
  <si>
    <t>C025</t>
  </si>
  <si>
    <t>Varun Bansal</t>
  </si>
  <si>
    <t>Smartwatch</t>
  </si>
  <si>
    <t>C026</t>
  </si>
  <si>
    <t>Shweta Nair</t>
  </si>
  <si>
    <t>Dry Fruits</t>
  </si>
  <si>
    <t>C027</t>
  </si>
  <si>
    <t>Akash Mishra</t>
  </si>
  <si>
    <t>AC</t>
  </si>
  <si>
    <t>C028</t>
  </si>
  <si>
    <t>Tanya Sethi</t>
  </si>
  <si>
    <t>Jacket</t>
  </si>
  <si>
    <t>C029</t>
  </si>
  <si>
    <t>Sanjay Rao</t>
  </si>
  <si>
    <t>Wardrobe</t>
  </si>
  <si>
    <t>C030</t>
  </si>
  <si>
    <t>Nisha Patel</t>
  </si>
  <si>
    <t>Face Cream</t>
  </si>
  <si>
    <t>C031</t>
  </si>
  <si>
    <t>Abhishek Roy</t>
  </si>
  <si>
    <t>Kolkata</t>
  </si>
  <si>
    <t>C032</t>
  </si>
  <si>
    <t>Komal Sharma</t>
  </si>
  <si>
    <t>Top</t>
  </si>
  <si>
    <t>C033</t>
  </si>
  <si>
    <t>Ravi Thakur</t>
  </si>
  <si>
    <t>Oil</t>
  </si>
  <si>
    <t>C034</t>
  </si>
  <si>
    <t>Preeti Gupta</t>
  </si>
  <si>
    <t>Air Fryer</t>
  </si>
  <si>
    <t>C035</t>
  </si>
  <si>
    <t>Ajay Kumar</t>
  </si>
  <si>
    <t>Washing Machine</t>
  </si>
  <si>
    <t>C036</t>
  </si>
  <si>
    <t>Mansi Jain</t>
  </si>
  <si>
    <t>Watch</t>
  </si>
  <si>
    <t>C037</t>
  </si>
  <si>
    <t>Prakash Singh</t>
  </si>
  <si>
    <t>Dining Table</t>
  </si>
  <si>
    <t>C038</t>
  </si>
  <si>
    <t>Ritika Das</t>
  </si>
  <si>
    <t>Lipstick</t>
  </si>
  <si>
    <t>C039</t>
  </si>
  <si>
    <t>Manoj Yadav</t>
  </si>
  <si>
    <t>Camera</t>
  </si>
  <si>
    <t>C040</t>
  </si>
  <si>
    <t>Sakshi Mehta</t>
  </si>
  <si>
    <t>Tea</t>
  </si>
  <si>
    <t>C041</t>
  </si>
  <si>
    <t>Varsha Kapoor</t>
  </si>
  <si>
    <t>Earbuds</t>
  </si>
  <si>
    <t>C042</t>
  </si>
  <si>
    <t>Harish Patel</t>
  </si>
  <si>
    <t>C043</t>
  </si>
  <si>
    <t>Neelam Verma</t>
  </si>
  <si>
    <t>Kurti</t>
  </si>
  <si>
    <t>C044</t>
  </si>
  <si>
    <t>Rakesh Sharma</t>
  </si>
  <si>
    <t>C045</t>
  </si>
  <si>
    <t>Pallavi Singh</t>
  </si>
  <si>
    <t>Vacuum Cleaner</t>
  </si>
  <si>
    <t>C046</t>
  </si>
  <si>
    <t>Suraj Kumar</t>
  </si>
  <si>
    <t>Speaker</t>
  </si>
  <si>
    <t>C047</t>
  </si>
  <si>
    <t>Renu Gupta</t>
  </si>
  <si>
    <t>Sandal</t>
  </si>
  <si>
    <t>C048</t>
  </si>
  <si>
    <t>Gaurav Mehra</t>
  </si>
  <si>
    <t>C049</t>
  </si>
  <si>
    <t>Swati Joshi</t>
  </si>
  <si>
    <t>Shampoo</t>
  </si>
  <si>
    <t>C050</t>
  </si>
  <si>
    <t>Ankit Sharma</t>
  </si>
  <si>
    <t>Categorical</t>
  </si>
  <si>
    <t>Numrerical</t>
  </si>
  <si>
    <t>Column names which has number is categorized as Numerical</t>
  </si>
  <si>
    <t>Column names which has name or name &amp; number it is categorical</t>
  </si>
  <si>
    <t>Customer ID</t>
  </si>
  <si>
    <t>Payment mode</t>
  </si>
  <si>
    <t>loan amount</t>
  </si>
  <si>
    <t>vlookup wild card</t>
  </si>
  <si>
    <t>findout price of rice item</t>
  </si>
  <si>
    <t>show salary of emp whose name start with R</t>
  </si>
  <si>
    <t>*C004</t>
  </si>
  <si>
    <t xml:space="preserve">Lower case </t>
  </si>
  <si>
    <t>Upper case</t>
  </si>
  <si>
    <t>proper case</t>
  </si>
  <si>
    <t>Functuons</t>
  </si>
  <si>
    <t>Left</t>
  </si>
  <si>
    <t>Right</t>
  </si>
  <si>
    <t>length</t>
  </si>
  <si>
    <t>Trim</t>
  </si>
  <si>
    <t>Trim function removes only start and end paces</t>
  </si>
  <si>
    <t>Concat</t>
  </si>
  <si>
    <t>Mid function</t>
  </si>
  <si>
    <t>manish jain</t>
  </si>
  <si>
    <t>MANISH JAIN</t>
  </si>
  <si>
    <t>manis</t>
  </si>
  <si>
    <t>Jain</t>
  </si>
  <si>
    <t>Credit Card80000</t>
  </si>
  <si>
    <t>riya kapoor</t>
  </si>
  <si>
    <t>RIYA KAPOOR</t>
  </si>
  <si>
    <t xml:space="preserve">riya </t>
  </si>
  <si>
    <t>poor</t>
  </si>
  <si>
    <t>deepak verma</t>
  </si>
  <si>
    <t>DEEPAK VERMA</t>
  </si>
  <si>
    <t>deepa</t>
  </si>
  <si>
    <t>erma</t>
  </si>
  <si>
    <t>sneha iyer</t>
  </si>
  <si>
    <t>SNEHA IYER</t>
  </si>
  <si>
    <t>sneha</t>
  </si>
  <si>
    <t>Iyer</t>
  </si>
  <si>
    <t>karan singh</t>
  </si>
  <si>
    <t>KARAN SINGH</t>
  </si>
  <si>
    <t>karan</t>
  </si>
  <si>
    <t>ingh</t>
  </si>
  <si>
    <t>Find Function</t>
  </si>
  <si>
    <t>ABC@gmail.com</t>
  </si>
  <si>
    <t>this formula based on Mid &amp; Find</t>
  </si>
  <si>
    <t>ABC@yahoo1.com</t>
  </si>
  <si>
    <t>Seach Function</t>
  </si>
  <si>
    <t>Find function - always seacrch from starting</t>
  </si>
  <si>
    <t>Search function - will be search from between as well</t>
  </si>
  <si>
    <t>Numeric</t>
  </si>
  <si>
    <t>Sum</t>
  </si>
  <si>
    <t>SUMIF</t>
  </si>
  <si>
    <t>Min</t>
  </si>
  <si>
    <t xml:space="preserve">MAX </t>
  </si>
  <si>
    <t>Avg</t>
  </si>
  <si>
    <t>Round</t>
  </si>
  <si>
    <t>ABS</t>
  </si>
  <si>
    <t>Absolute is used to remove the negative ones</t>
  </si>
  <si>
    <t>Mod</t>
  </si>
  <si>
    <t>Int</t>
  </si>
  <si>
    <t>it is nothing but reminder</t>
  </si>
  <si>
    <t>int function nothing but if it is &gt;0.5 then it gives to 1</t>
  </si>
  <si>
    <t>Date</t>
  </si>
  <si>
    <t>Today</t>
  </si>
  <si>
    <t>Now</t>
  </si>
  <si>
    <t>Month</t>
  </si>
  <si>
    <t>Day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</si>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</sst>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[$-F800]dddd\,\ mmmm\ dd\,\ yyyy"/>
    <numFmt numFmtId="174" formatCode="_(* #,##0.000000_);_(* \(#,##0.00000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131619"/>
      <name val="Segoe UI"/>
      <family val="2"/>
    </font>
    <font>
      <b/>
      <sz val="8"/>
      <color rgb="FF13161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1" fillId="0" borderId="0" xfId="0" applyFont="1"/>
    <xf numFmtId="0" fontId="4" fillId="0" borderId="1" xfId="0" applyFont="1" applyBorder="1" applyAlignment="1">
      <alignment wrapText="1"/>
    </xf>
    <xf numFmtId="14" fontId="0" fillId="0" borderId="0" xfId="0" applyNumberForma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14" fontId="4" fillId="0" borderId="1" xfId="0" applyNumberFormat="1" applyFont="1" applyBorder="1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/>
    <xf numFmtId="8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Fill="1" applyBorder="1" applyAlignment="1"/>
    <xf numFmtId="0" fontId="5" fillId="0" borderId="0" xfId="0" applyFont="1" applyBorder="1" applyAlignment="1"/>
    <xf numFmtId="14" fontId="6" fillId="0" borderId="4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4" fontId="6" fillId="0" borderId="0" xfId="0" applyNumberFormat="1" applyFont="1" applyBorder="1" applyAlignment="1">
      <alignment horizontal="right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0" fillId="0" borderId="0" xfId="0" applyAlignment="1"/>
    <xf numFmtId="14" fontId="0" fillId="0" borderId="0" xfId="0" applyNumberFormat="1" applyAlignment="1"/>
    <xf numFmtId="8" fontId="0" fillId="0" borderId="0" xfId="0" applyNumberFormat="1" applyAlignment="1"/>
    <xf numFmtId="0" fontId="1" fillId="2" borderId="0" xfId="0" applyFont="1" applyFill="1"/>
    <xf numFmtId="0" fontId="9" fillId="0" borderId="0" xfId="2"/>
    <xf numFmtId="0" fontId="10" fillId="0" borderId="0" xfId="0" applyFont="1"/>
    <xf numFmtId="0" fontId="11" fillId="0" borderId="0" xfId="0" applyFont="1"/>
    <xf numFmtId="0" fontId="8" fillId="0" borderId="0" xfId="0" applyFont="1"/>
    <xf numFmtId="174" fontId="0" fillId="0" borderId="0" xfId="1" applyNumberFormat="1" applyFont="1"/>
    <xf numFmtId="174" fontId="0" fillId="0" borderId="0" xfId="0" applyNumberFormat="1"/>
    <xf numFmtId="0" fontId="0" fillId="2" borderId="0" xfId="0" applyFill="1"/>
    <xf numFmtId="22" fontId="0" fillId="0" borderId="0" xfId="0" applyNumberFormat="1"/>
    <xf numFmtId="0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ABC@yahoo1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sqref="A1:E11"/>
    </sheetView>
  </sheetViews>
  <sheetFormatPr defaultRowHeight="14.4"/>
  <cols>
    <col min="1" max="1" width="10.88671875" bestFit="1" customWidth="1"/>
    <col min="2" max="2" width="14.33203125" bestFit="1" customWidth="1"/>
    <col min="3" max="3" width="10.77734375" bestFit="1" customWidth="1"/>
    <col min="4" max="4" width="10.21875" bestFit="1" customWidth="1"/>
    <col min="5" max="5" width="11.109375" bestFit="1" customWidth="1"/>
  </cols>
  <sheetData>
    <row r="1" spans="1:12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0</v>
      </c>
      <c r="J1" s="1" t="s">
        <v>2</v>
      </c>
    </row>
    <row r="2" spans="1:12" ht="15" thickBot="1">
      <c r="A2" s="1" t="s">
        <v>5</v>
      </c>
      <c r="B2" s="1" t="s">
        <v>6</v>
      </c>
      <c r="C2" s="1" t="s">
        <v>7</v>
      </c>
      <c r="D2" s="2">
        <v>55000</v>
      </c>
      <c r="E2" s="1" t="s">
        <v>8</v>
      </c>
      <c r="I2" s="1" t="s">
        <v>5</v>
      </c>
      <c r="J2" t="str">
        <f>VLOOKUP(I2,A1:C11,3,0)</f>
        <v>Electronics</v>
      </c>
    </row>
    <row r="3" spans="1:12" ht="15" thickBot="1">
      <c r="A3" s="1" t="s">
        <v>9</v>
      </c>
      <c r="B3" s="1" t="s">
        <v>10</v>
      </c>
      <c r="C3" s="1" t="s">
        <v>7</v>
      </c>
      <c r="D3" s="2">
        <v>1500</v>
      </c>
      <c r="E3" s="1" t="s">
        <v>11</v>
      </c>
      <c r="G3">
        <f>VLOOKUP("P101",A1:D11,4,FALSE)</f>
        <v>55000</v>
      </c>
      <c r="I3" s="1" t="s">
        <v>9</v>
      </c>
      <c r="J3" t="str">
        <f t="shared" ref="J3:J11" si="0">VLOOKUP(I3,A2:C12,3,0)</f>
        <v>Electronics</v>
      </c>
    </row>
    <row r="4" spans="1:12" ht="15" thickBot="1">
      <c r="A4" s="1" t="s">
        <v>12</v>
      </c>
      <c r="B4" s="1" t="s">
        <v>13</v>
      </c>
      <c r="C4" s="1" t="s">
        <v>14</v>
      </c>
      <c r="D4" s="2">
        <v>8500</v>
      </c>
      <c r="E4" s="1" t="s">
        <v>15</v>
      </c>
      <c r="I4" s="1" t="s">
        <v>12</v>
      </c>
      <c r="J4" t="str">
        <f t="shared" si="0"/>
        <v>Furniture</v>
      </c>
    </row>
    <row r="5" spans="1:12" ht="15" thickBot="1">
      <c r="A5" s="1" t="s">
        <v>16</v>
      </c>
      <c r="B5" s="1" t="s">
        <v>17</v>
      </c>
      <c r="C5" s="1" t="s">
        <v>14</v>
      </c>
      <c r="D5" s="2">
        <v>12000</v>
      </c>
      <c r="E5" s="1" t="s">
        <v>18</v>
      </c>
      <c r="I5" s="1" t="s">
        <v>16</v>
      </c>
      <c r="J5" t="str">
        <f t="shared" si="0"/>
        <v>Furniture</v>
      </c>
      <c r="L5">
        <f>VLOOKUP("Desk",B1:D11,3,0)</f>
        <v>12000</v>
      </c>
    </row>
    <row r="6" spans="1:12" ht="15" thickBot="1">
      <c r="A6" s="1" t="s">
        <v>19</v>
      </c>
      <c r="B6" s="1" t="s">
        <v>20</v>
      </c>
      <c r="C6" s="1" t="s">
        <v>7</v>
      </c>
      <c r="D6" s="2">
        <v>800</v>
      </c>
      <c r="E6" s="1" t="s">
        <v>11</v>
      </c>
      <c r="H6" t="str">
        <f>VLOOKUP("P109",A:A,1,0)</f>
        <v>P109</v>
      </c>
      <c r="I6" s="1" t="s">
        <v>19</v>
      </c>
      <c r="J6" t="str">
        <f t="shared" si="0"/>
        <v>Electronics</v>
      </c>
    </row>
    <row r="7" spans="1:12" ht="15" thickBot="1">
      <c r="A7" s="1" t="s">
        <v>21</v>
      </c>
      <c r="B7" s="1" t="s">
        <v>22</v>
      </c>
      <c r="C7" s="1" t="s">
        <v>7</v>
      </c>
      <c r="D7" s="2">
        <v>15000</v>
      </c>
      <c r="E7" s="1" t="s">
        <v>23</v>
      </c>
      <c r="I7" s="1" t="s">
        <v>21</v>
      </c>
      <c r="J7" t="str">
        <f t="shared" si="0"/>
        <v>Electronics</v>
      </c>
    </row>
    <row r="8" spans="1:12" ht="15" thickBot="1">
      <c r="A8" s="1" t="s">
        <v>24</v>
      </c>
      <c r="B8" s="1" t="s">
        <v>25</v>
      </c>
      <c r="C8" s="1" t="s">
        <v>7</v>
      </c>
      <c r="D8" s="2">
        <v>18000</v>
      </c>
      <c r="E8" s="1" t="s">
        <v>26</v>
      </c>
      <c r="I8" s="1" t="s">
        <v>24</v>
      </c>
      <c r="J8" t="str">
        <f t="shared" si="0"/>
        <v>Electronics</v>
      </c>
    </row>
    <row r="9" spans="1:12" ht="15" thickBot="1">
      <c r="A9" s="1" t="s">
        <v>27</v>
      </c>
      <c r="B9" s="1" t="s">
        <v>28</v>
      </c>
      <c r="C9" s="1" t="s">
        <v>14</v>
      </c>
      <c r="D9" s="2">
        <v>7000</v>
      </c>
      <c r="E9" s="1" t="s">
        <v>18</v>
      </c>
      <c r="I9" s="1" t="s">
        <v>27</v>
      </c>
      <c r="J9" t="str">
        <f t="shared" si="0"/>
        <v>Furniture</v>
      </c>
    </row>
    <row r="10" spans="1:12" ht="15" thickBot="1">
      <c r="A10" s="1" t="s">
        <v>29</v>
      </c>
      <c r="B10" s="1" t="s">
        <v>30</v>
      </c>
      <c r="C10" s="1" t="s">
        <v>7</v>
      </c>
      <c r="D10" s="2">
        <v>2500</v>
      </c>
      <c r="E10" s="1" t="s">
        <v>31</v>
      </c>
      <c r="I10" s="1" t="s">
        <v>29</v>
      </c>
      <c r="J10" t="str">
        <f t="shared" si="0"/>
        <v>Electronics</v>
      </c>
    </row>
    <row r="11" spans="1:12" ht="15" thickBot="1">
      <c r="A11" s="1" t="s">
        <v>32</v>
      </c>
      <c r="B11" s="1" t="s">
        <v>33</v>
      </c>
      <c r="C11" s="1" t="s">
        <v>7</v>
      </c>
      <c r="D11" s="2">
        <v>4500</v>
      </c>
      <c r="E11" s="1" t="s">
        <v>34</v>
      </c>
      <c r="I11" s="1" t="s">
        <v>32</v>
      </c>
      <c r="J11" t="str">
        <f t="shared" si="0"/>
        <v>Electronics</v>
      </c>
    </row>
    <row r="15" spans="1:12">
      <c r="A15" s="3" t="s">
        <v>35</v>
      </c>
      <c r="B15" s="3" t="s">
        <v>36</v>
      </c>
      <c r="C15" s="3" t="s">
        <v>37</v>
      </c>
    </row>
    <row r="16" spans="1:12">
      <c r="A16" t="s">
        <v>20</v>
      </c>
      <c r="B16">
        <f>VLOOKUP(A16,B1:D11,3,0)</f>
        <v>800</v>
      </c>
      <c r="C16" t="str">
        <f>VLOOKUP(A16,B1:E11,4,0)</f>
        <v>Logitech</v>
      </c>
    </row>
    <row r="17" spans="1:3">
      <c r="A17" t="s">
        <v>33</v>
      </c>
      <c r="B17">
        <f t="shared" ref="B17:B19" si="1">VLOOKUP(A17,B2:D12,3,0)</f>
        <v>4500</v>
      </c>
      <c r="C17" t="str">
        <f t="shared" ref="C17:C19" si="2">VLOOKUP(A17,B2:E12,4,0)</f>
        <v>Lenovo</v>
      </c>
    </row>
    <row r="18" spans="1:3" ht="15" thickBot="1">
      <c r="A18" t="s">
        <v>17</v>
      </c>
      <c r="B18">
        <f t="shared" si="1"/>
        <v>12000</v>
      </c>
      <c r="C18" t="str">
        <f t="shared" si="2"/>
        <v>IKEA</v>
      </c>
    </row>
    <row r="19" spans="1:3" ht="15" thickBot="1">
      <c r="A19" s="1" t="s">
        <v>25</v>
      </c>
      <c r="B19">
        <f t="shared" si="1"/>
        <v>18000</v>
      </c>
      <c r="C19" t="str">
        <f t="shared" si="2"/>
        <v>Dell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21" sqref="E21"/>
    </sheetView>
  </sheetViews>
  <sheetFormatPr defaultRowHeight="14.4"/>
  <sheetData>
    <row r="1" spans="1:5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>
      <c r="A2" s="1" t="s">
        <v>5</v>
      </c>
      <c r="B2" s="1" t="s">
        <v>6</v>
      </c>
      <c r="C2" s="1" t="s">
        <v>7</v>
      </c>
      <c r="D2" s="2">
        <v>55000</v>
      </c>
      <c r="E2" s="1" t="s">
        <v>8</v>
      </c>
    </row>
    <row r="3" spans="1:5" ht="15" thickBot="1">
      <c r="A3" s="1" t="s">
        <v>9</v>
      </c>
      <c r="B3" s="1" t="s">
        <v>10</v>
      </c>
      <c r="C3" s="1" t="s">
        <v>7</v>
      </c>
      <c r="D3" s="2">
        <v>1500</v>
      </c>
      <c r="E3" s="1" t="s">
        <v>11</v>
      </c>
    </row>
    <row r="4" spans="1:5" ht="15" thickBot="1">
      <c r="A4" s="1" t="s">
        <v>12</v>
      </c>
      <c r="B4" s="1" t="s">
        <v>13</v>
      </c>
      <c r="C4" s="1" t="s">
        <v>14</v>
      </c>
      <c r="D4" s="2">
        <v>8500</v>
      </c>
      <c r="E4" s="1" t="s">
        <v>15</v>
      </c>
    </row>
    <row r="5" spans="1:5" ht="15" thickBot="1">
      <c r="A5" s="1" t="s">
        <v>16</v>
      </c>
      <c r="B5" s="1" t="s">
        <v>17</v>
      </c>
      <c r="C5" s="1" t="s">
        <v>14</v>
      </c>
      <c r="D5" s="2">
        <v>12000</v>
      </c>
      <c r="E5" s="1" t="s">
        <v>18</v>
      </c>
    </row>
    <row r="6" spans="1:5" ht="15" thickBot="1">
      <c r="A6" s="1" t="s">
        <v>19</v>
      </c>
      <c r="B6" s="1" t="s">
        <v>20</v>
      </c>
      <c r="C6" s="1" t="s">
        <v>7</v>
      </c>
      <c r="D6" s="2">
        <v>800</v>
      </c>
      <c r="E6" s="1" t="s">
        <v>11</v>
      </c>
    </row>
    <row r="7" spans="1:5" ht="15" thickBot="1">
      <c r="A7" s="1" t="s">
        <v>21</v>
      </c>
      <c r="B7" s="1" t="s">
        <v>22</v>
      </c>
      <c r="C7" s="1" t="s">
        <v>7</v>
      </c>
      <c r="D7" s="2">
        <v>15000</v>
      </c>
      <c r="E7" s="1" t="s">
        <v>23</v>
      </c>
    </row>
    <row r="8" spans="1:5" ht="15" thickBot="1">
      <c r="A8" s="1" t="s">
        <v>24</v>
      </c>
      <c r="B8" s="1" t="s">
        <v>25</v>
      </c>
      <c r="C8" s="1" t="s">
        <v>7</v>
      </c>
      <c r="D8" s="2">
        <v>18000</v>
      </c>
      <c r="E8" s="1" t="s">
        <v>26</v>
      </c>
    </row>
    <row r="9" spans="1:5" ht="15" thickBot="1">
      <c r="A9" s="1" t="s">
        <v>27</v>
      </c>
      <c r="B9" s="1" t="s">
        <v>28</v>
      </c>
      <c r="C9" s="1" t="s">
        <v>14</v>
      </c>
      <c r="D9" s="2">
        <v>7000</v>
      </c>
      <c r="E9" s="1" t="s">
        <v>18</v>
      </c>
    </row>
    <row r="10" spans="1:5" ht="15" thickBot="1">
      <c r="A10" s="1" t="s">
        <v>29</v>
      </c>
      <c r="B10" s="1" t="s">
        <v>30</v>
      </c>
      <c r="C10" s="1" t="s">
        <v>7</v>
      </c>
      <c r="D10" s="2">
        <v>2500</v>
      </c>
      <c r="E10" s="1" t="s">
        <v>31</v>
      </c>
    </row>
    <row r="11" spans="1:5" ht="15" thickBot="1">
      <c r="A11" s="1" t="s">
        <v>32</v>
      </c>
      <c r="B11" s="1" t="s">
        <v>33</v>
      </c>
      <c r="C11" s="1" t="s">
        <v>7</v>
      </c>
      <c r="D11" s="2">
        <v>4500</v>
      </c>
      <c r="E11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O2" sqref="O2"/>
    </sheetView>
  </sheetViews>
  <sheetFormatPr defaultRowHeight="14.4"/>
  <cols>
    <col min="10" max="10" width="10.5546875" customWidth="1"/>
    <col min="15" max="15" width="22.44140625" bestFit="1" customWidth="1"/>
    <col min="17" max="17" width="9.5546875" bestFit="1" customWidth="1"/>
  </cols>
  <sheetData>
    <row r="1" spans="1:17" ht="15" thickBot="1">
      <c r="A1" s="6" t="s">
        <v>38</v>
      </c>
      <c r="B1" s="7" t="s">
        <v>39</v>
      </c>
      <c r="C1" s="6" t="s">
        <v>40</v>
      </c>
      <c r="D1" s="7" t="s">
        <v>41</v>
      </c>
      <c r="E1" s="7" t="s">
        <v>42</v>
      </c>
      <c r="F1" s="7" t="s">
        <v>43</v>
      </c>
      <c r="G1" s="6" t="s">
        <v>44</v>
      </c>
      <c r="H1" s="6" t="s">
        <v>45</v>
      </c>
      <c r="I1" s="7" t="s">
        <v>46</v>
      </c>
      <c r="J1" s="7" t="s">
        <v>47</v>
      </c>
      <c r="K1" s="6" t="s">
        <v>48</v>
      </c>
      <c r="M1" t="s">
        <v>114</v>
      </c>
      <c r="N1" t="s">
        <v>115</v>
      </c>
      <c r="O1" t="s">
        <v>116</v>
      </c>
      <c r="P1" t="s">
        <v>117</v>
      </c>
      <c r="Q1" s="7" t="s">
        <v>47</v>
      </c>
    </row>
    <row r="2" spans="1:17" ht="15" thickBot="1">
      <c r="A2" s="8">
        <v>1001</v>
      </c>
      <c r="B2" s="9" t="s">
        <v>49</v>
      </c>
      <c r="C2" s="8">
        <v>28</v>
      </c>
      <c r="D2" s="9" t="s">
        <v>50</v>
      </c>
      <c r="E2" s="9" t="s">
        <v>51</v>
      </c>
      <c r="F2" s="9" t="s">
        <v>52</v>
      </c>
      <c r="G2" s="8">
        <v>65000</v>
      </c>
      <c r="H2" s="8">
        <v>4</v>
      </c>
      <c r="I2" s="9" t="s">
        <v>53</v>
      </c>
      <c r="J2" s="10">
        <v>44635</v>
      </c>
      <c r="K2" s="8">
        <v>4</v>
      </c>
      <c r="M2" s="8">
        <v>1004</v>
      </c>
      <c r="N2">
        <f>VLOOKUP(M2,A:C,3,0)</f>
        <v>30</v>
      </c>
      <c r="O2" t="str">
        <f>VLOOKUP(M2,A:F,6,0)</f>
        <v>Data Analyst</v>
      </c>
      <c r="P2">
        <f>VLOOKUP(M2,A:G,7,0)</f>
        <v>72000</v>
      </c>
      <c r="Q2" s="5">
        <f>VLOOKUP(M2,A:J,10,0)</f>
        <v>44328</v>
      </c>
    </row>
    <row r="3" spans="1:17" ht="15" thickBot="1">
      <c r="A3" s="8">
        <v>1002</v>
      </c>
      <c r="B3" s="9" t="s">
        <v>54</v>
      </c>
      <c r="C3" s="8">
        <v>32</v>
      </c>
      <c r="D3" s="9" t="s">
        <v>55</v>
      </c>
      <c r="E3" s="9" t="s">
        <v>56</v>
      </c>
      <c r="F3" s="9" t="s">
        <v>57</v>
      </c>
      <c r="G3" s="8">
        <v>85000</v>
      </c>
      <c r="H3" s="8">
        <v>8</v>
      </c>
      <c r="I3" s="9" t="s">
        <v>58</v>
      </c>
      <c r="J3" s="10">
        <v>43301</v>
      </c>
      <c r="K3" s="8">
        <v>5</v>
      </c>
      <c r="M3" s="8">
        <v>1021</v>
      </c>
      <c r="N3">
        <f t="shared" ref="N3:N4" si="0">VLOOKUP(M3,A:C,3,0)</f>
        <v>36</v>
      </c>
      <c r="O3" t="str">
        <f t="shared" ref="O3:O4" si="1">VLOOKUP(M3,A:F,6,0)</f>
        <v>Architect</v>
      </c>
      <c r="P3">
        <f t="shared" ref="P3:P4" si="2">VLOOKUP(M3,A:G,7,0)</f>
        <v>135000</v>
      </c>
      <c r="Q3" s="5">
        <f t="shared" ref="Q3:Q4" si="3">VLOOKUP(M3,A:J,10,0)</f>
        <v>41495</v>
      </c>
    </row>
    <row r="4" spans="1:17" ht="15" thickBot="1">
      <c r="A4" s="8">
        <v>1003</v>
      </c>
      <c r="B4" s="9" t="s">
        <v>59</v>
      </c>
      <c r="C4" s="8">
        <v>26</v>
      </c>
      <c r="D4" s="9" t="s">
        <v>50</v>
      </c>
      <c r="E4" s="9" t="s">
        <v>60</v>
      </c>
      <c r="F4" s="9" t="s">
        <v>61</v>
      </c>
      <c r="G4" s="8">
        <v>52000</v>
      </c>
      <c r="H4" s="8">
        <v>3</v>
      </c>
      <c r="I4" s="9" t="s">
        <v>53</v>
      </c>
      <c r="J4" s="10">
        <v>44936</v>
      </c>
      <c r="K4" s="8">
        <v>3</v>
      </c>
      <c r="M4" s="8">
        <v>1011</v>
      </c>
      <c r="N4">
        <f t="shared" si="0"/>
        <v>29</v>
      </c>
      <c r="O4" t="str">
        <f t="shared" si="1"/>
        <v>Developer</v>
      </c>
      <c r="P4">
        <f t="shared" si="2"/>
        <v>70000</v>
      </c>
      <c r="Q4" s="5">
        <f t="shared" si="3"/>
        <v>44263</v>
      </c>
    </row>
    <row r="5" spans="1:17" ht="15" thickBot="1">
      <c r="A5" s="8">
        <v>1004</v>
      </c>
      <c r="B5" s="9" t="s">
        <v>62</v>
      </c>
      <c r="C5" s="8">
        <v>30</v>
      </c>
      <c r="D5" s="9" t="s">
        <v>55</v>
      </c>
      <c r="E5" s="9" t="s">
        <v>51</v>
      </c>
      <c r="F5" s="9" t="s">
        <v>63</v>
      </c>
      <c r="G5" s="8">
        <v>72000</v>
      </c>
      <c r="H5" s="8">
        <v>5</v>
      </c>
      <c r="I5" s="9" t="s">
        <v>64</v>
      </c>
      <c r="J5" s="10">
        <v>44328</v>
      </c>
      <c r="K5" s="8">
        <v>4</v>
      </c>
    </row>
    <row r="6" spans="1:17" ht="15" thickBot="1">
      <c r="A6" s="8">
        <v>1005</v>
      </c>
      <c r="B6" s="9" t="s">
        <v>65</v>
      </c>
      <c r="C6" s="8">
        <v>35</v>
      </c>
      <c r="D6" s="9" t="s">
        <v>50</v>
      </c>
      <c r="E6" s="9" t="s">
        <v>66</v>
      </c>
      <c r="F6" s="9" t="s">
        <v>67</v>
      </c>
      <c r="G6" s="8">
        <v>90000</v>
      </c>
      <c r="H6" s="8">
        <v>10</v>
      </c>
      <c r="I6" s="9" t="s">
        <v>68</v>
      </c>
      <c r="J6" s="10">
        <v>42607</v>
      </c>
      <c r="K6" s="8">
        <v>5</v>
      </c>
    </row>
    <row r="7" spans="1:17" ht="15" thickBot="1">
      <c r="A7" s="8">
        <v>1006</v>
      </c>
      <c r="B7" s="9" t="s">
        <v>69</v>
      </c>
      <c r="C7" s="8">
        <v>27</v>
      </c>
      <c r="D7" s="9" t="s">
        <v>55</v>
      </c>
      <c r="E7" s="9" t="s">
        <v>70</v>
      </c>
      <c r="F7" s="9" t="s">
        <v>71</v>
      </c>
      <c r="G7" s="8">
        <v>48000</v>
      </c>
      <c r="H7" s="8">
        <v>2</v>
      </c>
      <c r="I7" s="9" t="s">
        <v>53</v>
      </c>
      <c r="J7" s="10">
        <v>45340</v>
      </c>
      <c r="K7" s="8">
        <v>3</v>
      </c>
    </row>
    <row r="8" spans="1:17" ht="15" thickBot="1">
      <c r="A8" s="8">
        <v>1007</v>
      </c>
      <c r="B8" s="9" t="s">
        <v>72</v>
      </c>
      <c r="C8" s="8">
        <v>31</v>
      </c>
      <c r="D8" s="9" t="s">
        <v>50</v>
      </c>
      <c r="E8" s="9" t="s">
        <v>51</v>
      </c>
      <c r="F8" s="9" t="s">
        <v>73</v>
      </c>
      <c r="G8" s="8">
        <v>98000</v>
      </c>
      <c r="H8" s="8">
        <v>9</v>
      </c>
      <c r="I8" s="9" t="s">
        <v>74</v>
      </c>
      <c r="J8" s="10">
        <v>43044</v>
      </c>
      <c r="K8" s="8">
        <v>4</v>
      </c>
    </row>
    <row r="9" spans="1:17" ht="15" thickBot="1">
      <c r="A9" s="8">
        <v>1008</v>
      </c>
      <c r="B9" s="9" t="s">
        <v>75</v>
      </c>
      <c r="C9" s="8">
        <v>29</v>
      </c>
      <c r="D9" s="9" t="s">
        <v>55</v>
      </c>
      <c r="E9" s="9" t="s">
        <v>60</v>
      </c>
      <c r="F9" s="9" t="s">
        <v>76</v>
      </c>
      <c r="G9" s="8">
        <v>68000</v>
      </c>
      <c r="H9" s="8">
        <v>5</v>
      </c>
      <c r="I9" s="9" t="s">
        <v>64</v>
      </c>
      <c r="J9" s="10">
        <v>44453</v>
      </c>
      <c r="K9" s="8">
        <v>4</v>
      </c>
      <c r="M9" s="7" t="s">
        <v>39</v>
      </c>
      <c r="N9" s="7" t="s">
        <v>46</v>
      </c>
      <c r="O9" s="7" t="s">
        <v>47</v>
      </c>
    </row>
    <row r="10" spans="1:17" ht="15" thickBot="1">
      <c r="A10" s="8">
        <v>1009</v>
      </c>
      <c r="B10" s="9" t="s">
        <v>77</v>
      </c>
      <c r="C10" s="8">
        <v>25</v>
      </c>
      <c r="D10" s="9" t="s">
        <v>50</v>
      </c>
      <c r="E10" s="9" t="s">
        <v>66</v>
      </c>
      <c r="F10" s="9" t="s">
        <v>78</v>
      </c>
      <c r="G10" s="8">
        <v>45000</v>
      </c>
      <c r="H10" s="8">
        <v>2</v>
      </c>
      <c r="I10" s="9" t="s">
        <v>58</v>
      </c>
      <c r="J10" s="10">
        <v>45313</v>
      </c>
      <c r="K10" s="8">
        <v>3</v>
      </c>
      <c r="M10" s="9" t="s">
        <v>79</v>
      </c>
      <c r="N10" t="str">
        <f>VLOOKUP(M10,B:I,8,0)</f>
        <v>Delhi</v>
      </c>
      <c r="O10" s="11">
        <f>VLOOKUP(M10,B:J,9,0)</f>
        <v>43993</v>
      </c>
    </row>
    <row r="11" spans="1:17" ht="15" thickBot="1">
      <c r="A11" s="8">
        <v>1010</v>
      </c>
      <c r="B11" s="9" t="s">
        <v>79</v>
      </c>
      <c r="C11" s="8">
        <v>34</v>
      </c>
      <c r="D11" s="9" t="s">
        <v>55</v>
      </c>
      <c r="E11" s="9" t="s">
        <v>56</v>
      </c>
      <c r="F11" s="9" t="s">
        <v>80</v>
      </c>
      <c r="G11" s="8">
        <v>58000</v>
      </c>
      <c r="H11" s="8">
        <v>6</v>
      </c>
      <c r="I11" s="9" t="s">
        <v>53</v>
      </c>
      <c r="J11" s="10">
        <v>43993</v>
      </c>
      <c r="K11" s="8">
        <v>4</v>
      </c>
      <c r="M11" s="9" t="s">
        <v>107</v>
      </c>
      <c r="N11" t="str">
        <f>VLOOKUP(M11,B:I,8,0)</f>
        <v>Delhi</v>
      </c>
      <c r="O11" s="11">
        <f>VLOOKUP(M11,B:J,9,0)</f>
        <v>39462</v>
      </c>
    </row>
    <row r="12" spans="1:17" ht="15" thickBot="1">
      <c r="A12" s="8">
        <v>1011</v>
      </c>
      <c r="B12" s="9" t="s">
        <v>81</v>
      </c>
      <c r="C12" s="8">
        <v>29</v>
      </c>
      <c r="D12" s="9" t="s">
        <v>50</v>
      </c>
      <c r="E12" s="9" t="s">
        <v>51</v>
      </c>
      <c r="F12" s="9" t="s">
        <v>52</v>
      </c>
      <c r="G12" s="8">
        <v>70000</v>
      </c>
      <c r="H12" s="8">
        <v>5</v>
      </c>
      <c r="I12" s="9" t="s">
        <v>82</v>
      </c>
      <c r="J12" s="10">
        <v>44263</v>
      </c>
      <c r="K12" s="8">
        <v>5</v>
      </c>
    </row>
    <row r="13" spans="1:17" ht="15" thickBot="1">
      <c r="A13" s="8">
        <v>1012</v>
      </c>
      <c r="B13" s="9" t="s">
        <v>83</v>
      </c>
      <c r="C13" s="8">
        <v>38</v>
      </c>
      <c r="D13" s="9" t="s">
        <v>55</v>
      </c>
      <c r="E13" s="9" t="s">
        <v>60</v>
      </c>
      <c r="F13" s="9" t="s">
        <v>84</v>
      </c>
      <c r="G13" s="8">
        <v>105000</v>
      </c>
      <c r="H13" s="8">
        <v>12</v>
      </c>
      <c r="I13" s="9" t="s">
        <v>68</v>
      </c>
      <c r="J13" s="10">
        <v>41746</v>
      </c>
      <c r="K13" s="8">
        <v>5</v>
      </c>
    </row>
    <row r="14" spans="1:17" ht="15" thickBot="1">
      <c r="A14" s="8">
        <v>1013</v>
      </c>
      <c r="B14" s="9" t="s">
        <v>85</v>
      </c>
      <c r="C14" s="8">
        <v>27</v>
      </c>
      <c r="D14" s="9" t="s">
        <v>50</v>
      </c>
      <c r="E14" s="9" t="s">
        <v>70</v>
      </c>
      <c r="F14" s="9" t="s">
        <v>71</v>
      </c>
      <c r="G14" s="8">
        <v>50000</v>
      </c>
      <c r="H14" s="8">
        <v>3</v>
      </c>
      <c r="I14" s="9" t="s">
        <v>86</v>
      </c>
      <c r="J14" s="10">
        <v>45108</v>
      </c>
      <c r="K14" s="8">
        <v>3</v>
      </c>
      <c r="M14">
        <f>COUNTIF(D1:D30,"Male")</f>
        <v>15</v>
      </c>
    </row>
    <row r="15" spans="1:17" ht="15" thickBot="1">
      <c r="A15" s="8">
        <v>1014</v>
      </c>
      <c r="B15" s="9" t="s">
        <v>87</v>
      </c>
      <c r="C15" s="8">
        <v>33</v>
      </c>
      <c r="D15" s="9" t="s">
        <v>55</v>
      </c>
      <c r="E15" s="9" t="s">
        <v>51</v>
      </c>
      <c r="F15" s="9" t="s">
        <v>88</v>
      </c>
      <c r="G15" s="8">
        <v>110000</v>
      </c>
      <c r="H15" s="8">
        <v>11</v>
      </c>
      <c r="I15" s="9" t="s">
        <v>64</v>
      </c>
      <c r="J15" s="10">
        <v>42296</v>
      </c>
      <c r="K15" s="8">
        <v>5</v>
      </c>
      <c r="M15">
        <f>COUNTIF(D2:D31,"Female")</f>
        <v>14</v>
      </c>
    </row>
    <row r="16" spans="1:17" ht="15" thickBot="1">
      <c r="A16" s="8">
        <v>1015</v>
      </c>
      <c r="B16" s="9" t="s">
        <v>89</v>
      </c>
      <c r="C16" s="8">
        <v>30</v>
      </c>
      <c r="D16" s="9" t="s">
        <v>50</v>
      </c>
      <c r="E16" s="9" t="s">
        <v>66</v>
      </c>
      <c r="F16" s="9" t="s">
        <v>78</v>
      </c>
      <c r="G16" s="8">
        <v>47000</v>
      </c>
      <c r="H16" s="8">
        <v>4</v>
      </c>
      <c r="I16" s="9" t="s">
        <v>90</v>
      </c>
      <c r="J16" s="10">
        <v>44900</v>
      </c>
      <c r="K16" s="8">
        <v>3</v>
      </c>
      <c r="O16">
        <f>SUMIF(E:E,"HR",G:G)</f>
        <v>243000</v>
      </c>
    </row>
    <row r="17" spans="1:11" ht="15" thickBot="1">
      <c r="A17" s="8">
        <v>1016</v>
      </c>
      <c r="B17" s="9" t="s">
        <v>91</v>
      </c>
      <c r="C17" s="8">
        <v>26</v>
      </c>
      <c r="D17" s="9" t="s">
        <v>55</v>
      </c>
      <c r="E17" s="9" t="s">
        <v>56</v>
      </c>
      <c r="F17" s="9" t="s">
        <v>92</v>
      </c>
      <c r="G17" s="8">
        <v>46000</v>
      </c>
      <c r="H17" s="8">
        <v>2</v>
      </c>
      <c r="I17" s="9" t="s">
        <v>53</v>
      </c>
      <c r="J17" s="10">
        <v>45363</v>
      </c>
      <c r="K17" s="8">
        <v>4</v>
      </c>
    </row>
    <row r="18" spans="1:11" ht="15" thickBot="1">
      <c r="A18" s="8">
        <v>1017</v>
      </c>
      <c r="B18" s="9" t="s">
        <v>93</v>
      </c>
      <c r="C18" s="8">
        <v>40</v>
      </c>
      <c r="D18" s="9" t="s">
        <v>50</v>
      </c>
      <c r="E18" s="9" t="s">
        <v>51</v>
      </c>
      <c r="F18" s="9" t="s">
        <v>94</v>
      </c>
      <c r="G18" s="8">
        <v>125000</v>
      </c>
      <c r="H18" s="8">
        <v>15</v>
      </c>
      <c r="I18" s="9" t="s">
        <v>74</v>
      </c>
      <c r="J18" s="10">
        <v>40595</v>
      </c>
      <c r="K18" s="8">
        <v>5</v>
      </c>
    </row>
    <row r="19" spans="1:11" ht="15" thickBot="1">
      <c r="A19" s="8">
        <v>1018</v>
      </c>
      <c r="B19" s="9" t="s">
        <v>95</v>
      </c>
      <c r="C19" s="8">
        <v>31</v>
      </c>
      <c r="D19" s="9" t="s">
        <v>55</v>
      </c>
      <c r="E19" s="9" t="s">
        <v>70</v>
      </c>
      <c r="F19" s="9" t="s">
        <v>96</v>
      </c>
      <c r="G19" s="8">
        <v>92000</v>
      </c>
      <c r="H19" s="8">
        <v>8</v>
      </c>
      <c r="I19" s="9" t="s">
        <v>58</v>
      </c>
      <c r="J19" s="10">
        <v>43353</v>
      </c>
      <c r="K19" s="8">
        <v>4</v>
      </c>
    </row>
    <row r="20" spans="1:11" ht="15" thickBot="1">
      <c r="A20" s="8">
        <v>1019</v>
      </c>
      <c r="B20" s="9" t="s">
        <v>97</v>
      </c>
      <c r="C20" s="8">
        <v>28</v>
      </c>
      <c r="D20" s="9" t="s">
        <v>50</v>
      </c>
      <c r="E20" s="9" t="s">
        <v>60</v>
      </c>
      <c r="F20" s="9" t="s">
        <v>61</v>
      </c>
      <c r="G20" s="8">
        <v>55000</v>
      </c>
      <c r="H20" s="8">
        <v>4</v>
      </c>
      <c r="I20" s="9" t="s">
        <v>82</v>
      </c>
      <c r="J20" s="10">
        <v>44728</v>
      </c>
      <c r="K20" s="8">
        <v>3</v>
      </c>
    </row>
    <row r="21" spans="1:11" ht="15" thickBot="1">
      <c r="A21" s="8">
        <v>1020</v>
      </c>
      <c r="B21" s="9" t="s">
        <v>98</v>
      </c>
      <c r="C21" s="8">
        <v>29</v>
      </c>
      <c r="D21" s="9" t="s">
        <v>55</v>
      </c>
      <c r="E21" s="9" t="s">
        <v>66</v>
      </c>
      <c r="F21" s="9" t="s">
        <v>78</v>
      </c>
      <c r="G21" s="8">
        <v>49000</v>
      </c>
      <c r="H21" s="8">
        <v>3</v>
      </c>
      <c r="I21" s="9" t="s">
        <v>99</v>
      </c>
      <c r="J21" s="10">
        <v>45041</v>
      </c>
      <c r="K21" s="8">
        <v>4</v>
      </c>
    </row>
    <row r="22" spans="1:11" ht="15" thickBot="1">
      <c r="A22" s="8">
        <v>1021</v>
      </c>
      <c r="B22" s="9" t="s">
        <v>100</v>
      </c>
      <c r="C22" s="8">
        <v>36</v>
      </c>
      <c r="D22" s="9" t="s">
        <v>50</v>
      </c>
      <c r="E22" s="9" t="s">
        <v>51</v>
      </c>
      <c r="F22" s="9" t="s">
        <v>101</v>
      </c>
      <c r="G22" s="8">
        <v>135000</v>
      </c>
      <c r="H22" s="8">
        <v>13</v>
      </c>
      <c r="I22" s="9" t="s">
        <v>68</v>
      </c>
      <c r="J22" s="10">
        <v>41495</v>
      </c>
      <c r="K22" s="8">
        <v>5</v>
      </c>
    </row>
    <row r="23" spans="1:11" ht="15" thickBot="1">
      <c r="A23" s="8">
        <v>1022</v>
      </c>
      <c r="B23" s="9" t="s">
        <v>102</v>
      </c>
      <c r="C23" s="8">
        <v>27</v>
      </c>
      <c r="D23" s="9" t="s">
        <v>55</v>
      </c>
      <c r="E23" s="9" t="s">
        <v>56</v>
      </c>
      <c r="F23" s="9" t="s">
        <v>80</v>
      </c>
      <c r="G23" s="8">
        <v>54000</v>
      </c>
      <c r="H23" s="8">
        <v>3</v>
      </c>
      <c r="I23" s="9" t="s">
        <v>103</v>
      </c>
      <c r="J23" s="10">
        <v>44971</v>
      </c>
      <c r="K23" s="8">
        <v>3</v>
      </c>
    </row>
    <row r="24" spans="1:11" ht="15" thickBot="1">
      <c r="A24" s="8">
        <v>1023</v>
      </c>
      <c r="B24" s="9" t="s">
        <v>104</v>
      </c>
      <c r="C24" s="8">
        <v>32</v>
      </c>
      <c r="D24" s="9" t="s">
        <v>50</v>
      </c>
      <c r="E24" s="9" t="s">
        <v>66</v>
      </c>
      <c r="F24" s="9" t="s">
        <v>67</v>
      </c>
      <c r="G24" s="8">
        <v>88000</v>
      </c>
      <c r="H24" s="8">
        <v>9</v>
      </c>
      <c r="I24" s="9" t="s">
        <v>74</v>
      </c>
      <c r="J24" s="10">
        <v>42877</v>
      </c>
      <c r="K24" s="8">
        <v>4</v>
      </c>
    </row>
    <row r="25" spans="1:11" ht="15" thickBot="1">
      <c r="A25" s="8">
        <v>1024</v>
      </c>
      <c r="B25" s="9" t="s">
        <v>105</v>
      </c>
      <c r="C25" s="8">
        <v>30</v>
      </c>
      <c r="D25" s="9" t="s">
        <v>55</v>
      </c>
      <c r="E25" s="9" t="s">
        <v>60</v>
      </c>
      <c r="F25" s="9" t="s">
        <v>76</v>
      </c>
      <c r="G25" s="8">
        <v>65000</v>
      </c>
      <c r="H25" s="8">
        <v>5</v>
      </c>
      <c r="I25" s="9" t="s">
        <v>106</v>
      </c>
      <c r="J25" s="10">
        <v>44503</v>
      </c>
      <c r="K25" s="8">
        <v>4</v>
      </c>
    </row>
    <row r="26" spans="1:11" ht="15" thickBot="1">
      <c r="A26" s="8">
        <v>1025</v>
      </c>
      <c r="B26" s="9" t="s">
        <v>107</v>
      </c>
      <c r="C26" s="8">
        <v>42</v>
      </c>
      <c r="D26" s="9" t="s">
        <v>50</v>
      </c>
      <c r="E26" s="9" t="s">
        <v>51</v>
      </c>
      <c r="F26" s="9" t="s">
        <v>108</v>
      </c>
      <c r="G26" s="8">
        <v>145000</v>
      </c>
      <c r="H26" s="8">
        <v>18</v>
      </c>
      <c r="I26" s="9" t="s">
        <v>53</v>
      </c>
      <c r="J26" s="10">
        <v>39462</v>
      </c>
      <c r="K26" s="8">
        <v>5</v>
      </c>
    </row>
    <row r="27" spans="1:11" ht="15" thickBot="1">
      <c r="A27" s="8">
        <v>1026</v>
      </c>
      <c r="B27" s="9" t="s">
        <v>109</v>
      </c>
      <c r="C27" s="8">
        <v>25</v>
      </c>
      <c r="D27" s="9" t="s">
        <v>55</v>
      </c>
      <c r="E27" s="9" t="s">
        <v>70</v>
      </c>
      <c r="F27" s="9" t="s">
        <v>71</v>
      </c>
      <c r="G27" s="8">
        <v>44000</v>
      </c>
      <c r="H27" s="8">
        <v>1</v>
      </c>
      <c r="I27" s="9" t="s">
        <v>86</v>
      </c>
      <c r="J27" s="10">
        <v>45667</v>
      </c>
      <c r="K27" s="8">
        <v>3</v>
      </c>
    </row>
    <row r="28" spans="1:11" ht="15" thickBot="1">
      <c r="A28" s="8">
        <v>1027</v>
      </c>
      <c r="B28" s="9" t="s">
        <v>110</v>
      </c>
      <c r="C28" s="8">
        <v>34</v>
      </c>
      <c r="D28" s="9" t="s">
        <v>50</v>
      </c>
      <c r="E28" s="9" t="s">
        <v>60</v>
      </c>
      <c r="F28" s="9" t="s">
        <v>111</v>
      </c>
      <c r="G28" s="8">
        <v>78000</v>
      </c>
      <c r="H28" s="8">
        <v>8</v>
      </c>
      <c r="I28" s="9" t="s">
        <v>53</v>
      </c>
      <c r="J28" s="10">
        <v>43446</v>
      </c>
      <c r="K28" s="8">
        <v>4</v>
      </c>
    </row>
    <row r="29" spans="1:11" ht="15" thickBot="1">
      <c r="A29" s="8">
        <v>1028</v>
      </c>
      <c r="B29" s="9" t="s">
        <v>112</v>
      </c>
      <c r="C29" s="8">
        <v>28</v>
      </c>
      <c r="D29" s="9" t="s">
        <v>55</v>
      </c>
      <c r="E29" s="9" t="s">
        <v>51</v>
      </c>
      <c r="F29" s="9" t="s">
        <v>63</v>
      </c>
      <c r="G29" s="8">
        <v>69000</v>
      </c>
      <c r="H29" s="8">
        <v>4</v>
      </c>
      <c r="I29" s="9" t="s">
        <v>58</v>
      </c>
      <c r="J29" s="10">
        <v>44699</v>
      </c>
      <c r="K29" s="8">
        <v>4</v>
      </c>
    </row>
    <row r="30" spans="1:11" ht="15" thickBot="1">
      <c r="A30" s="8">
        <v>1029</v>
      </c>
      <c r="B30" s="9" t="s">
        <v>113</v>
      </c>
      <c r="C30" s="8">
        <v>37</v>
      </c>
      <c r="D30" s="9" t="s">
        <v>50</v>
      </c>
      <c r="E30" s="9" t="s">
        <v>66</v>
      </c>
      <c r="F30" s="9" t="s">
        <v>67</v>
      </c>
      <c r="G30" s="8">
        <v>95000</v>
      </c>
      <c r="H30" s="8">
        <v>11</v>
      </c>
      <c r="I30" s="9" t="s">
        <v>82</v>
      </c>
      <c r="J30" s="10">
        <v>42185</v>
      </c>
      <c r="K30" s="9"/>
    </row>
    <row r="31" spans="1:11" ht="15" thickBo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t="15" thickBo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ht="15" thickBo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15" thickBo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t="15" thickBo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t="15" thickBo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5" thickBo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15" thickBo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5" thickBo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5" thickBo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15" thickBo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t="15" thickBo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t="15" thickBo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t="15" thickBo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5" thickBo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5" thickBo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5" thickBo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5" thickBo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" thickBo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5" thickBo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" thickBo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5" thickBo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" thickBo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5" thickBo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5" thickBo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5" thickBo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5" thickBo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5" thickBo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ht="15" thickBo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ht="15" thickBo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ht="15" thickBo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ht="15" thickBo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15" thickBo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ht="15" thickBo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" thickBo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" thickBo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" thickBo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" thickBo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5" thickBo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5" thickBo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5" thickBo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5" thickBo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5" thickBo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5" thickBo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5" thickBo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5" thickBo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5" thickBo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5" thickBo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5" thickBo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5" thickBo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5" thickBo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5" thickBo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5" thickBo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5" thickBo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5" thickBo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5" thickBo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5" thickBo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5" thickBo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5" thickBo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5" thickBo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5" thickBo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5" thickBo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5" thickBo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5" thickBo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5" thickBo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5" thickBo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5" thickBo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5" thickBo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5" thickBo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ht="15" thickBo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ht="15" thickBo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ht="15" thickBo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15" thickBo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ht="15" thickBo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ht="15" thickBo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ht="15" thickBo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5" thickBo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ht="15" thickBo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ht="15" thickBo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ht="15" thickBo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5" thickBo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5" thickBo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5" thickBo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5" thickBo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ht="15" thickBo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5" thickBo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ht="15" thickBo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ht="15" thickBo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ht="15" thickBo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ht="15" thickBo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ht="15" thickBo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15" thickBo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15" thickBo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15" thickBo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15" thickBo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15" thickBo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5" thickBo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15" thickBo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ht="15" thickBo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15" thickBo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ht="15" thickBo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5" thickBo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ht="15" thickBo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5" thickBo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ht="15" thickBo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5" thickBo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ht="15" thickBo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ht="15" thickBo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ht="15" thickBo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ht="15" thickBo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5" thickBo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ht="15" thickBo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ht="15" thickBo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ht="15" thickBo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ht="15" thickBo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ht="15" thickBo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5" thickBo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ht="15" thickBo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ht="15" thickBo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ht="15" thickBo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ht="15" thickBo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15" thickBo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ht="15" thickBo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ht="15" thickBo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5" thickBo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ht="15" thickBo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ht="15" thickBo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ht="15" thickBo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5" thickBo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ht="15" thickBo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ht="15" thickBo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15" thickBo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ht="15" thickBo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15" thickBo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ht="15" thickBo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15" thickBo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ht="15" thickBo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ht="15" thickBo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5" thickBo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ht="15" thickBo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ht="15" thickBo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ht="15" thickBo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ht="15" thickBo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ht="15" thickBo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ht="15" thickBo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ht="15" thickBo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ht="15" thickBo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ht="15" thickBo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ht="15" thickBo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ht="15" thickBo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ht="15" thickBo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ht="15" thickBo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5" thickBo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ht="15" thickBo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ht="15" thickBo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ht="15" thickBo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ht="15" thickBo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ht="15" thickBo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ht="15" thickBo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ht="15" thickBo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ht="15" thickBo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ht="15" thickBo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ht="15" thickBo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ht="15" thickBo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ht="15" thickBo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ht="15" thickBo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5" thickBo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ht="15" thickBo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ht="15" thickBo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ht="15" thickBo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ht="15" thickBo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ht="15" thickBo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15" thickBo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ht="15" thickBo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ht="15" thickBo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ht="15" thickBo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ht="15" thickBo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ht="15" thickBo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ht="15" thickBo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ht="15" thickBo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ht="15" thickBo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ht="15" thickBo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15" thickBo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ht="15" thickBo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 ht="15" thickBo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ht="15" thickBo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ht="15" thickBo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ht="15" thickBo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ht="15" thickBo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ht="15" thickBo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15" thickBo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15" thickBo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ht="15" thickBo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ht="15" thickBo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ht="15" thickBo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ht="15" thickBo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ht="15" thickBo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ht="15" thickBo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ht="15" thickBo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ht="15" thickBo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15" thickBo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15" thickBo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15" thickBo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15" thickBo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15" thickBo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15" thickBo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15" thickBo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15" thickBo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15" thickBo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15" thickBo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15" thickBo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15" thickBo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15" thickBo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15" thickBo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15" thickBo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15" thickBo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15" thickBo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15" thickBo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15" thickBo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15" thickBo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15" thickBo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15" thickBo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15" thickBo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15" thickBo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15" thickBo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15" thickBo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ht="15" thickBo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ht="15" thickBo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ht="15" thickBo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ht="15" thickBo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ht="15" thickBo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ht="15" thickBo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ht="15" thickBo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15" thickBo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ht="15" thickBo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ht="15" thickBo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ht="15" thickBo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15" thickBo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ht="15" thickBo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ht="15" thickBo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ht="15" thickBo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15" thickBo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ht="15" thickBo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ht="15" thickBo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ht="15" thickBo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15" thickBo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ht="15" thickBo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ht="15" thickBo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ht="15" thickBo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ht="15" thickBo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ht="15" thickBo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ht="15" thickBo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ht="15" thickBo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ht="15" thickBo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ht="15" thickBo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ht="15" thickBo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ht="15" thickBo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ht="15" thickBo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ht="15" thickBo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15" thickBo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ht="15" thickBo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5" thickBo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ht="15" thickBo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ht="15" thickBo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ht="15" thickBo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ht="15" thickBo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ht="15" thickBo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ht="15" thickBo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ht="15" thickBo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ht="15" thickBo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ht="15" thickBo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15" thickBo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ht="15" thickBo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ht="15" thickBo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15" thickBo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ht="15" thickBo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ht="15" thickBo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ht="15" thickBo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ht="15" thickBo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ht="15" thickBo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ht="15" thickBo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ht="15" thickBo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ht="15" thickBo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ht="15" thickBo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15" thickBo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15" thickBo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ht="15" thickBo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ht="15" thickBo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ht="15" thickBo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ht="15" thickBo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ht="15" thickBo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ht="15" thickBo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ht="15" thickBo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ht="15" thickBo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ht="15" thickBo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ht="15" thickBo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ht="15" thickBo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ht="15" thickBo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ht="15" thickBo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ht="15" thickBo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ht="15" thickBo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ht="15" thickBo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ht="15" thickBo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15" thickBo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ht="15" thickBo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ht="15" thickBo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ht="15" thickBo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ht="15" thickBo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ht="15" thickBo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ht="15" thickBo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ht="15" thickBo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ht="15" thickBo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ht="15" thickBo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ht="15" thickBo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ht="15" thickBo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ht="15" thickBo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ht="15" thickBo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ht="15" thickBo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ht="15" thickBo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5" thickBo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ht="15" thickBo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5" thickBo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ht="15" thickBo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5" thickBo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ht="15" thickBo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15" thickBo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1:11" ht="15" thickBo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1:11" ht="15" thickBo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ht="15" thickBo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1:11" ht="15" thickBo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1:11" ht="15" thickBo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1:11" ht="15" thickBo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1:11" ht="15" thickBo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1:11" ht="15" thickBo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1:11" ht="15" thickBo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15" thickBo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1:11" ht="15" thickBo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1:11" ht="15" thickBo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1:11" ht="15" thickBo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1:11" ht="15" thickBo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1:11" ht="15" thickBo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1:11" ht="15" thickBo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1:11" ht="15" thickBo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1:11" ht="15" thickBo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1:11" ht="15" thickBo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1:11" ht="15" thickBo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1:11" ht="15" thickBo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1:11" ht="15" thickBo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1:11" ht="15" thickBo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1:11" ht="15" thickBo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1:11" ht="15" thickBo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1:11" ht="15" thickBo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1:11" ht="15" thickBo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1:11" ht="15" thickBo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1:11" ht="15" thickBo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1:11" ht="15" thickBo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1:11" ht="15" thickBo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1:11" ht="15" thickBo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1:11" ht="15" thickBo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1:11" ht="15" thickBo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1:11" ht="15" thickBo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1:11" ht="15" thickBo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1" ht="15" thickBo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1:11" ht="15" thickBo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1:11" ht="15" thickBo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1:11" ht="15" thickBo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1:11" ht="15" thickBo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1:11" ht="15" thickBo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1:11" ht="15" thickBo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ht="15" thickBo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ht="15" thickBo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ht="15" thickBo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ht="15" thickBo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ht="15" thickBo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ht="15" thickBo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ht="15" thickBo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15" thickBo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1:11" ht="15" thickBo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1:11" ht="15" thickBo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ht="15" thickBo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1:11" ht="15" thickBo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1:11" ht="15" thickBo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1:11" ht="15" thickBo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1:11" ht="15" thickBo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1:11" ht="15" thickBo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1:11" ht="15" thickBo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1:11" ht="15" thickBo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1:11" ht="15" thickBo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1:11" ht="15" thickBo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1:11" ht="15" thickBo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1:11" ht="15" thickBo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1:11" ht="15" thickBo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1:11" ht="15" thickBo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1:11" ht="15" thickBo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15" thickBo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1:11" ht="15" thickBo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1:11" ht="15" thickBo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1:11" ht="15" thickBo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1:11" ht="15" thickBo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1:11" ht="15" thickBo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1:11" ht="15" thickBo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1:11" ht="15" thickBo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1:11" ht="15" thickBo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1:11" ht="15" thickBo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1:11" ht="15" thickBo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1:11" ht="15" thickBo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1:11" ht="15" thickBo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1:11" ht="15" thickBo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1:11" ht="15" thickBo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15" thickBo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1:11" ht="15" thickBo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1:11" ht="15" thickBo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1:11" ht="15" thickBo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11" ht="15" thickBo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1:11" ht="15" thickBo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1:11" ht="15" thickBo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1:11" ht="15" thickBo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1:11" ht="15" thickBo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1:11" ht="15" thickBo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1:11" ht="15" thickBo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1:11" ht="15" thickBo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1:11" ht="15" thickBo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1:11" ht="15" thickBo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1:11" ht="15" thickBo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1:11" ht="15" thickBo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1:11" ht="15" thickBo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1:11" ht="15" thickBo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5" thickBo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1:11" ht="15" thickBo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1:11" ht="15" thickBo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1:11" ht="15" thickBo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1:11" ht="15" thickBo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1:11" ht="15" thickBo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1:11" ht="15" thickBo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1:11" ht="15" thickBo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1:11" ht="15" thickBo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1:11" ht="15" thickBo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1:11" ht="15" thickBo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1:11" ht="15" thickBo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1:11" ht="15" thickBo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1:11" ht="15" thickBo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1:11" ht="15" thickBo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1:11" ht="15" thickBo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1:11" ht="15" thickBo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1:11" ht="15" thickBo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1:11" ht="15" thickBo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1:11" ht="15" thickBo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1:11" ht="15" thickBo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1:11" ht="15" thickBo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1:11" ht="15" thickBo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1:11" ht="15" thickBo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1:11" ht="15" thickBo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1:11" ht="15" thickBo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1:11" ht="15" thickBo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1:11" ht="15" thickBo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15" thickBo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1:11" ht="15" thickBo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1:11" ht="15" thickBo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1:11" ht="15" thickBo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1:11" ht="15" thickBo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1:11" ht="15" thickBo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1:11" ht="15" thickBo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1:11" ht="15" thickBo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1:11" ht="15" thickBo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1:11" ht="15" thickBo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1:11" ht="15" thickBo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1:11" ht="15" thickBo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1:11" ht="15" thickBo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1:11" ht="15" thickBo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1:11" ht="15" thickBo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1:11" ht="15" thickBo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1:11" ht="15" thickBo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1:11" ht="15" thickBo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1:11" ht="15" thickBo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1:11" ht="15" thickBo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1:11" ht="15" thickBo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1:11" ht="15" thickBo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1:11" ht="15" thickBo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1:11" ht="15" thickBo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1:11" ht="15" thickBo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1:11" ht="15" thickBo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1:11" ht="15" thickBo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1:11" ht="15" thickBo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1:11" ht="15" thickBo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1:11" ht="15" thickBo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1:11" ht="15" thickBo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1:11" ht="15" thickBo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1:11" ht="15" thickBo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1:11" ht="15" thickBo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1:11" ht="15" thickBo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1:11" ht="15" thickBo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1:11" ht="15" thickBo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1:11" ht="15" thickBo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1:11" ht="15" thickBo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1:11" ht="15" thickBo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1:11" ht="15" thickBo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1:11" ht="15" thickBo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1:11" ht="15" thickBo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1:11" ht="15" thickBo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1:11" ht="15" thickBo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1:11" ht="15" thickBo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1:11" ht="15" thickBo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1:11" ht="15" thickBo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1:11" ht="15" thickBo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1:11" ht="15" thickBo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1:11" ht="15" thickBo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1:11" ht="15" thickBo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1:11" ht="15" thickBo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1:11" ht="15" thickBo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1:11" ht="15" thickBo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1:11" ht="15" thickBo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1:11" ht="15" thickBo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1:11" ht="15" thickBo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1:11" ht="15" thickBo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1:11" ht="15" thickBo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1:11" ht="15" thickBo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1:11" ht="15" thickBo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1:11" ht="15" thickBo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1:11" ht="15" thickBo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1:11" ht="15" thickBo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1:11" ht="15" thickBo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1:11" ht="15" thickBo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1:11" ht="15" thickBo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1:11" ht="15" thickBo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1:11" ht="15" thickBo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1:11" ht="15" thickBo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1:11" ht="15" thickBo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1:11" ht="15" thickBo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1:11" ht="15" thickBo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1:11" ht="15" thickBo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1:11" ht="15" thickBo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1:11" ht="15" thickBo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1:11" ht="15" thickBo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1:11" ht="15" thickBo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1:11" ht="15" thickBo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1:11" ht="15" thickBo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1:11" ht="15" thickBo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1:11" ht="15" thickBo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1:11" ht="15" thickBo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1:11" ht="15" thickBo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1:11" ht="15" thickBo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1:11" ht="15" thickBo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1:11" ht="15" thickBo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1:11" ht="15" thickBo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1:11" ht="15" thickBo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1:11" ht="15" thickBo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1:11" ht="15" thickBo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1:11" ht="15" thickBo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1:11" ht="15" thickBo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1:11" ht="15" thickBo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1:11" ht="15" thickBo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1:11" ht="15" thickBo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1:11" ht="15" thickBo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1:11" ht="15" thickBo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1:11" ht="15" thickBo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1:11" ht="15" thickBo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1:11" ht="15" thickBo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1:11" ht="15" thickBo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1:11" ht="15" thickBo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1:11" ht="15" thickBo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1:11" ht="15" thickBo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1:11" ht="15" thickBo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1:11" ht="15" thickBo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1:11" ht="15" thickBo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1:11" ht="15" thickBo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1:11" ht="15" thickBo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1:11" ht="15" thickBo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1:11" ht="15" thickBo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1:11" ht="15" thickBo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1:11" ht="15" thickBo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1:11" ht="15" thickBo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1:11" ht="15" thickBo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1:11" ht="15" thickBo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1:11" ht="15" thickBo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1:11" ht="15" thickBo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1:11" ht="15" thickBo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1:11" ht="15" thickBo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1:11" ht="15" thickBo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1:11" ht="15" thickBo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1:11" ht="15" thickBo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1:11" ht="15" thickBo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1:11" ht="15" thickBo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1:11" ht="15" thickBo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1:11" ht="15" thickBo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1:11" ht="15" thickBo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1:11" ht="15" thickBo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1:11" ht="15" thickBo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1:11" ht="15" thickBo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1:11" ht="15" thickBo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1:11" ht="15" thickBo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1:11" ht="15" thickBo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1:11" ht="15" thickBo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1:11" ht="15" thickBo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1:11" ht="15" thickBo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1:11" ht="15" thickBo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1:11" ht="15" thickBo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1:11" ht="15" thickBo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1:11" ht="15" thickBo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1:11" ht="15" thickBo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1:11" ht="15" thickBo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1:11" ht="15" thickBo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1:11" ht="15" thickBo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1:11" ht="15" thickBo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1:11" ht="15" thickBo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1:11" ht="15" thickBo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1:11" ht="15" thickBo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1:11" ht="15" thickBo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1:11" ht="15" thickBo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1:11" ht="15" thickBo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1:11" ht="15" thickBo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1:11" ht="15" thickBo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1:11" ht="15" thickBo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1:11" ht="15" thickBo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1:11" ht="15" thickBo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1:11" ht="15" thickBo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1:11" ht="15" thickBo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1:11" ht="15" thickBo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1:11" ht="15" thickBo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1:11" ht="15" thickBo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1:11" ht="15" thickBo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1:11" ht="15" thickBo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1:11" ht="15" thickBo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1:11" ht="15" thickBo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1:11" ht="15" thickBo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1:11" ht="15" thickBo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1:11" ht="15" thickBo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1:11" ht="15" thickBo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1:11" ht="15" thickBo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1:11" ht="15" thickBo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1:11" ht="15" thickBo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1:11" ht="15" thickBo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1:11" ht="15" thickBo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1:11" ht="15" thickBo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1:11" ht="15" thickBo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1:11" ht="15" thickBo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1:11" ht="15" thickBo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1:11" ht="15" thickBo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1:11" ht="15" thickBo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1:11" ht="15" thickBo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1:11" ht="15" thickBo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1:11" ht="15" thickBo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1:11" ht="15" thickBo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1:11" ht="15" thickBo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1:11" ht="15" thickBo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1:11" ht="15" thickBo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1:11" ht="15" thickBo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1:11" ht="15" thickBo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1:11" ht="15" thickBo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1:11" ht="15" thickBo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1:11" ht="15" thickBo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1:11" ht="15" thickBo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1:11" ht="15" thickBo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1:11" ht="15" thickBo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1:11" ht="15" thickBo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1:11" ht="15" thickBo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1:11" ht="15" thickBo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1:11" ht="15" thickBo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1:11" ht="15" thickBo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1:11" ht="15" thickBo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1:11" ht="15" thickBo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1:11" ht="15" thickBo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1:11" ht="15" thickBo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1:11" ht="15" thickBo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1:11" ht="15" thickBo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1:11" ht="15" thickBo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1:11" ht="15" thickBo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1:11" ht="15" thickBo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1:11" ht="15" thickBo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1:11" ht="15" thickBo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1:11" ht="15" thickBo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1:11" ht="15" thickBo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1:11" ht="15" thickBo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1:11" ht="15" thickBo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1:11" ht="15" thickBo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1:11" ht="15" thickBo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1:11" ht="15" thickBo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1:11" ht="15" thickBo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1:11" ht="15" thickBo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1:11" ht="15" thickBo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1:11" ht="15" thickBo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1:11" ht="15" thickBo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1:11" ht="15" thickBo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1:11" ht="15" thickBo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1:11" ht="15" thickBo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1:11" ht="15" thickBo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1:11" ht="15" thickBo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1:11" ht="15" thickBo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1:11" ht="15" thickBo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1:11" ht="15" thickBo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1:11" ht="15" thickBo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1:11" ht="15" thickBo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1:11" ht="15" thickBo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1:11" ht="15" thickBo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1:11" ht="15" thickBo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1:11" ht="15" thickBo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1:11" ht="15" thickBo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1:11" ht="15" thickBo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1:11" ht="15" thickBo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1:11" ht="15" thickBo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1:11" ht="15" thickBo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1:11" ht="15" thickBo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1:11" ht="15" thickBo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1:11" ht="15" thickBo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1:11" ht="15" thickBo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1:11" ht="15" thickBo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1:11" ht="15" thickBo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1:11" ht="15" thickBo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1:11" ht="15" thickBo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1:11" ht="15" thickBo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1:11" ht="15" thickBo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1:11" ht="15" thickBo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1:11" ht="15" thickBo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1:11" ht="15" thickBo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1:11" ht="15" thickBo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1:11" ht="15" thickBo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1:11" ht="15" thickBo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1:11" ht="15" thickBo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1:11" ht="15" thickBo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1:11" ht="15" thickBo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1:11" ht="15" thickBo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1:11" ht="15" thickBo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1:11" ht="15" thickBo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1:11" ht="15" thickBo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1:11" ht="15" thickBo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1:11" ht="15" thickBo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1:11" ht="15" thickBo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1:11" ht="15" thickBo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1:11" ht="15" thickBo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1:11" ht="15" thickBo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1:11" ht="15" thickBo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1:11" ht="15" thickBo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1:11" ht="15" thickBo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1:11" ht="15" thickBo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1:11" ht="15" thickBo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1:11" ht="15" thickBo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1:11" ht="15" thickBo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1:11" ht="15" thickBo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1:11" ht="15" thickBo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1:11" ht="15" thickBo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1:11" ht="15" thickBo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1:11" ht="15" thickBo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1:11" ht="15" thickBo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1:11" ht="15" thickBo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1:11" ht="15" thickBo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1:11" ht="15" thickBo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1:11" ht="15" thickBo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1:11" ht="15" thickBo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1:11" ht="15" thickBo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1:11" ht="15" thickBo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1:11" ht="15" thickBo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1:11" ht="15" thickBo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1:11" ht="15" thickBo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1:11" ht="15" thickBo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1:11" ht="15" thickBo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1:11" ht="15" thickBo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1:11" ht="15" thickBo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1:11" ht="15" thickBo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1:11" ht="15" thickBo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1:11" ht="15" thickBo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1:11" ht="15" thickBo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1:11" ht="15" thickBo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1:11" ht="15" thickBo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1:11" ht="15" thickBo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1:11" ht="15" thickBo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1:11" ht="15" thickBo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1:11" ht="15" thickBo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1:11" ht="15" thickBo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1:11" ht="15" thickBo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1:11" ht="15" thickBo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1:11" ht="15" thickBo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1:11" ht="15" thickBo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1:11" ht="15" thickBo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1:11" ht="15" thickBo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1:11" ht="15" thickBo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1:11" ht="15" thickBo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1:11" ht="15" thickBo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1:11" ht="15" thickBo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1:11" ht="15" thickBo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1:11" ht="15" thickBo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1:11" ht="15" thickBo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1:11" ht="15" thickBo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1:11" ht="15" thickBo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1:11" ht="15" thickBo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1:11" ht="15" thickBo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1:11" ht="15" thickBo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1:11" ht="15" thickBo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1:11" ht="15" thickBo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1:11" ht="15" thickBo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1:11" ht="15" thickBo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1:11" ht="15" thickBo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1:11" ht="15" thickBo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1:11" ht="15" thickBo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1:11" ht="15" thickBo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1:11" ht="15" thickBo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1:11" ht="15" thickBo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1:11" ht="15" thickBo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1:11" ht="15" thickBo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1:11" ht="15" thickBo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1:11" ht="15" thickBo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1:11" ht="15" thickBo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1:11" ht="15" thickBo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1:11" ht="15" thickBo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1:11" ht="15" thickBo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1:11" ht="15" thickBo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1:11" ht="15" thickBo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1:11" ht="15" thickBo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1:11" ht="15" thickBo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1:11" ht="15" thickBo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1:11" ht="15" thickBo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1:11" ht="15" thickBo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1:11" ht="15" thickBo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1:11" ht="15" thickBo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1:11" ht="15" thickBo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1:11" ht="15" thickBo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1:11" ht="15" thickBo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1:11" ht="15" thickBo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1:11" ht="15" thickBo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1:11" ht="15" thickBo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1:11" ht="15" thickBo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1:11" ht="15" thickBo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1:11" ht="15" thickBo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1:11" ht="15" thickBo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1:11" ht="15" thickBo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1:11" ht="15" thickBo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1:11" ht="15" thickBo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1:11" ht="15" thickBo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1:11" ht="15" thickBo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1:11" ht="15" thickBo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1:11" ht="15" thickBo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1:11" ht="15" thickBo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1:11" ht="15" thickBo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1:11" ht="15" thickBo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1:11" ht="15" thickBo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1:11" ht="15" thickBo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1:11" ht="15" thickBo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1:11" ht="15" thickBo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1:11" ht="15" thickBo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1:11" ht="15" thickBo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1:11" ht="15" thickBo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1:11" ht="15" thickBo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1:11" ht="15" thickBo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1:11" ht="15" thickBo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1:11" ht="15" thickBo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1:11" ht="15" thickBo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1:11" ht="15" thickBo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1:11" ht="15" thickBo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1:11" ht="15" thickBo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1:11" ht="15" thickBo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1:11" ht="15" thickBo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1:11" ht="15" thickBo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1:11" ht="15" thickBo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1:11" ht="15" thickBo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1:11" ht="15" thickBo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1:11" ht="15" thickBo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1:11" ht="15" thickBo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1:11" ht="15" thickBo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1:11" ht="15" thickBo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1:11" ht="15" thickBo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1:11" ht="15" thickBo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1:11" ht="15" thickBo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1:11" ht="15" thickBo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1:11" ht="15" thickBo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1:11" ht="15" thickBo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1:11" ht="15" thickBo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1:11" ht="15" thickBo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1:11" ht="15" thickBo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1:11" ht="15" thickBo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1:11" ht="15" thickBo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1:11" ht="15" thickBo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1:11" ht="15" thickBo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1:11" ht="15" thickBo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1:11" ht="15" thickBo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1:11" ht="15" thickBo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1:11" ht="15" thickBo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1:11" ht="15" thickBo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1:11" ht="15" thickBo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1:11" ht="15" thickBo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1:11" ht="15" thickBo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1:11" ht="15" thickBo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1:11" ht="15" thickBo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1:11" ht="15" thickBo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1:11" ht="15" thickBo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1:11" ht="15" thickBo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1:11" ht="15" thickBo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1:11" ht="15" thickBo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1:11" ht="15" thickBo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1:11" ht="15" thickBo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1:11" ht="15" thickBo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1:11" ht="15" thickBo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1:11" ht="15" thickBo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1:11" ht="15" thickBo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1:11" ht="15" thickBo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1:11" ht="15" thickBo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1:11" ht="15" thickBo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spans="1:11" ht="15" thickBo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spans="1:11" ht="15" thickBo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spans="1:11" ht="15" thickBo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spans="1:11" ht="15" thickBo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spans="1:11" ht="15" thickBo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spans="1:11" ht="15" thickBo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spans="1:11" ht="15" thickBo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spans="1:11" ht="15" thickBo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spans="1:11" ht="15" thickBo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spans="1:11" ht="15" thickBo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spans="1:11" ht="15" thickBo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spans="1:11" ht="15" thickBo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spans="1:11" ht="15" thickBo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spans="1:11" ht="15" thickBo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spans="1:11" ht="15" thickBo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spans="1:11" ht="15" thickBo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spans="1:11" ht="15" thickBo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spans="1:11" ht="15" thickBo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spans="1:11" ht="15" thickBo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spans="1:11" ht="15" thickBo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spans="1:11" ht="15" thickBo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spans="1:11" ht="15" thickBo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spans="1:11" ht="15" thickBo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spans="1:11" ht="15" thickBo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spans="1:11" ht="15" thickBo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spans="1:11" ht="15" thickBo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spans="1:11" ht="15" thickBo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spans="1:11" ht="15" thickBo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spans="1:11" ht="15" thickBo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spans="1:11" ht="15" thickBo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spans="1:11" ht="15" thickBo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spans="1:11" ht="15" thickBo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spans="1:11" ht="15" thickBo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spans="1:11" ht="15" thickBo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spans="1:11" ht="15" thickBo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spans="1:11" ht="15" thickBo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spans="1:11" ht="15" thickBo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spans="1:11" ht="15" thickBo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spans="1:11" ht="15" thickBo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spans="1:11" ht="15" thickBo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spans="1:11" ht="15" thickBo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spans="1:11" ht="15" thickBo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spans="1:11" ht="15" thickBo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spans="1:11" ht="15" thickBo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spans="1:11" ht="15" thickBo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spans="1:11" ht="15" thickBo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spans="1:11" ht="15" thickBo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spans="1:11" ht="15" thickBo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spans="1:11" ht="15" thickBo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spans="1:11" ht="15" thickBo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spans="1:11" ht="15" thickBo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spans="1:11" ht="15" thickBo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spans="1:11" ht="15" thickBo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spans="1:11" ht="15" thickBo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spans="1:11" ht="15" thickBo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spans="1:11" ht="15" thickBo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spans="1:11" ht="15" thickBo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spans="1:11" ht="15" thickBo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spans="1:11" ht="15" thickBo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spans="1:11" ht="15" thickBo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spans="1:11" ht="15" thickBo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spans="1:11" ht="15" thickBo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spans="1:11" ht="15" thickBo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spans="1:11" ht="15" thickBo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spans="1:11" ht="15" thickBo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spans="1:11" ht="15" thickBo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spans="1:11" ht="15" thickBo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spans="1:11" ht="15" thickBo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spans="1:11" ht="15" thickBo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spans="1:11" ht="15" thickBo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spans="1:11" ht="15" thickBo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spans="1:11" ht="15" thickBo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spans="1:11" ht="15" thickBo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spans="1:11" ht="15" thickBo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F18" sqref="F18"/>
    </sheetView>
  </sheetViews>
  <sheetFormatPr defaultRowHeight="14.4"/>
  <sheetData>
    <row r="1" spans="1:10">
      <c r="A1" t="s">
        <v>39</v>
      </c>
      <c r="B1" t="s">
        <v>118</v>
      </c>
      <c r="C1" t="s">
        <v>119</v>
      </c>
      <c r="D1" t="s">
        <v>120</v>
      </c>
      <c r="E1" t="s">
        <v>121</v>
      </c>
    </row>
    <row r="2" spans="1:10">
      <c r="A2" t="s">
        <v>40</v>
      </c>
      <c r="B2">
        <v>10</v>
      </c>
      <c r="C2">
        <v>20</v>
      </c>
      <c r="D2">
        <v>30</v>
      </c>
      <c r="E2">
        <v>40</v>
      </c>
      <c r="H2">
        <f>HLOOKUP("Mani",A1:B3,2,0)</f>
        <v>10</v>
      </c>
      <c r="J2" t="str">
        <f>HLOOKUP("Pani",A1:E3,3,0)</f>
        <v>M</v>
      </c>
    </row>
    <row r="3" spans="1:10">
      <c r="A3" t="s">
        <v>41</v>
      </c>
      <c r="B3" t="s">
        <v>122</v>
      </c>
      <c r="C3" t="s">
        <v>122</v>
      </c>
      <c r="D3" t="s">
        <v>123</v>
      </c>
      <c r="E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F15" sqref="F15"/>
    </sheetView>
  </sheetViews>
  <sheetFormatPr defaultRowHeight="14.4"/>
  <cols>
    <col min="8" max="8" width="12.88671875" bestFit="1" customWidth="1"/>
  </cols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ht="15" thickBot="1">
      <c r="A2" s="1" t="s">
        <v>5</v>
      </c>
      <c r="B2" s="1" t="s">
        <v>6</v>
      </c>
      <c r="C2" s="1" t="s">
        <v>7</v>
      </c>
      <c r="D2" s="2">
        <v>55000</v>
      </c>
      <c r="E2" s="1" t="s">
        <v>8</v>
      </c>
    </row>
    <row r="3" spans="1:14" ht="15" thickBot="1">
      <c r="A3" s="1" t="s">
        <v>9</v>
      </c>
      <c r="B3" s="1" t="s">
        <v>10</v>
      </c>
      <c r="C3" s="1" t="s">
        <v>7</v>
      </c>
      <c r="D3" s="2">
        <v>1500</v>
      </c>
      <c r="E3" s="1" t="s">
        <v>11</v>
      </c>
      <c r="I3" t="s">
        <v>124</v>
      </c>
    </row>
    <row r="4" spans="1:14" ht="15" thickBot="1">
      <c r="A4" s="1" t="s">
        <v>12</v>
      </c>
      <c r="B4" s="1" t="s">
        <v>13</v>
      </c>
      <c r="C4" s="1" t="s">
        <v>14</v>
      </c>
      <c r="D4" s="2">
        <v>8500</v>
      </c>
      <c r="E4" s="1" t="s">
        <v>15</v>
      </c>
      <c r="I4" t="s">
        <v>125</v>
      </c>
    </row>
    <row r="5" spans="1:14" ht="15" thickBot="1">
      <c r="A5" s="1" t="s">
        <v>16</v>
      </c>
      <c r="B5" s="1" t="s">
        <v>17</v>
      </c>
      <c r="C5" s="1" t="s">
        <v>14</v>
      </c>
      <c r="D5" s="2">
        <v>12000</v>
      </c>
      <c r="E5" s="1" t="s">
        <v>18</v>
      </c>
    </row>
    <row r="6" spans="1:14" ht="15" thickBot="1">
      <c r="A6" s="1" t="s">
        <v>19</v>
      </c>
      <c r="B6" s="1" t="s">
        <v>20</v>
      </c>
      <c r="C6" s="1" t="s">
        <v>7</v>
      </c>
      <c r="D6" s="2">
        <v>800</v>
      </c>
      <c r="E6" s="1" t="s">
        <v>11</v>
      </c>
    </row>
    <row r="7" spans="1:14" ht="15" thickBot="1">
      <c r="A7" s="1" t="s">
        <v>21</v>
      </c>
      <c r="B7" s="1" t="s">
        <v>22</v>
      </c>
      <c r="C7" s="1" t="s">
        <v>7</v>
      </c>
      <c r="D7" s="2">
        <v>15000</v>
      </c>
      <c r="E7" s="1" t="s">
        <v>23</v>
      </c>
      <c r="N7" t="s">
        <v>131</v>
      </c>
    </row>
    <row r="8" spans="1:14" ht="15" thickBot="1">
      <c r="A8" s="1" t="s">
        <v>24</v>
      </c>
      <c r="B8" s="1" t="s">
        <v>25</v>
      </c>
      <c r="C8" s="1" t="s">
        <v>7</v>
      </c>
      <c r="D8" s="2">
        <v>18000</v>
      </c>
      <c r="E8" s="1" t="s">
        <v>26</v>
      </c>
    </row>
    <row r="9" spans="1:14" ht="15" thickBot="1">
      <c r="A9" s="1" t="s">
        <v>27</v>
      </c>
      <c r="B9" s="1" t="s">
        <v>28</v>
      </c>
      <c r="C9" s="1" t="s">
        <v>14</v>
      </c>
      <c r="D9" s="2">
        <v>7000</v>
      </c>
      <c r="E9" s="1" t="s">
        <v>18</v>
      </c>
      <c r="H9" t="s">
        <v>126</v>
      </c>
      <c r="I9">
        <f>MATCH("P104",A:A,0)</f>
        <v>5</v>
      </c>
      <c r="N9">
        <f>INDEX(D1:D11,MATCH(B7,B:B,0),0)</f>
        <v>15000</v>
      </c>
    </row>
    <row r="10" spans="1:14" ht="15" thickBot="1">
      <c r="A10" s="1" t="s">
        <v>29</v>
      </c>
      <c r="B10" s="1" t="s">
        <v>30</v>
      </c>
      <c r="C10" s="1" t="s">
        <v>7</v>
      </c>
      <c r="D10" s="2">
        <v>2500</v>
      </c>
      <c r="E10" s="1" t="s">
        <v>31</v>
      </c>
      <c r="K10">
        <f>MATCH("Monitor",B1:B11,0)</f>
        <v>8</v>
      </c>
    </row>
    <row r="11" spans="1:14" ht="15" thickBot="1">
      <c r="A11" s="1" t="s">
        <v>32</v>
      </c>
      <c r="B11" s="1" t="s">
        <v>33</v>
      </c>
      <c r="C11" s="1" t="s">
        <v>7</v>
      </c>
      <c r="D11" s="2">
        <v>4500</v>
      </c>
      <c r="E11" s="1" t="s">
        <v>34</v>
      </c>
    </row>
    <row r="12" spans="1:14">
      <c r="K12">
        <f>MATCH("Sony",E1:E13,0)</f>
        <v>10</v>
      </c>
    </row>
    <row r="15" spans="1:14">
      <c r="E15" s="3" t="s">
        <v>127</v>
      </c>
      <c r="F15">
        <f>INDEX(D1:D11,6,0)</f>
        <v>800</v>
      </c>
    </row>
    <row r="16" spans="1:14">
      <c r="E16" s="3" t="s">
        <v>126</v>
      </c>
      <c r="F16">
        <f>MATCH(D6,D1:D11,0)</f>
        <v>6</v>
      </c>
      <c r="H16" s="3" t="s">
        <v>129</v>
      </c>
      <c r="I16">
        <f>INDEX(D1:D11,MATCH(B11,B1:B11,0),0)</f>
        <v>4500</v>
      </c>
    </row>
    <row r="18" spans="5:8">
      <c r="H18" s="3" t="s">
        <v>130</v>
      </c>
    </row>
    <row r="19" spans="5:8">
      <c r="E19" s="3" t="s">
        <v>128</v>
      </c>
      <c r="F19">
        <f>MATCH(E11,E:E,0)</f>
        <v>11</v>
      </c>
      <c r="H19" t="str">
        <f>INDEX(E1:E11,MATCH(B6,B:B,0),0)</f>
        <v>Logitech</v>
      </c>
    </row>
    <row r="20" spans="5:8">
      <c r="E20" s="3" t="s">
        <v>127</v>
      </c>
      <c r="F20" t="str">
        <f>INDEX(E:E,11,0)</f>
        <v>Lenovo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K2" sqref="K2"/>
    </sheetView>
  </sheetViews>
  <sheetFormatPr defaultRowHeight="14.4"/>
  <sheetData>
    <row r="1" spans="1:14" ht="29.4" thickBot="1">
      <c r="A1" s="12" t="s">
        <v>39</v>
      </c>
      <c r="B1" s="12" t="s">
        <v>40</v>
      </c>
      <c r="C1" s="12" t="s">
        <v>41</v>
      </c>
      <c r="D1" s="12" t="s">
        <v>132</v>
      </c>
      <c r="E1" s="12" t="s">
        <v>44</v>
      </c>
      <c r="F1" s="12" t="s">
        <v>133</v>
      </c>
      <c r="G1" s="4"/>
      <c r="H1" s="12" t="s">
        <v>134</v>
      </c>
      <c r="I1" s="12" t="s">
        <v>132</v>
      </c>
      <c r="J1" s="12" t="s">
        <v>39</v>
      </c>
      <c r="K1" s="12" t="s">
        <v>41</v>
      </c>
      <c r="L1" s="12" t="s">
        <v>44</v>
      </c>
      <c r="M1" s="12" t="s">
        <v>133</v>
      </c>
      <c r="N1" s="12" t="s">
        <v>40</v>
      </c>
    </row>
    <row r="2" spans="1:14" ht="15" thickBot="1">
      <c r="A2" s="13" t="s">
        <v>135</v>
      </c>
      <c r="B2" s="14">
        <v>30</v>
      </c>
      <c r="C2" s="13" t="s">
        <v>122</v>
      </c>
      <c r="D2" s="13" t="s">
        <v>136</v>
      </c>
      <c r="E2" s="14">
        <v>45000</v>
      </c>
      <c r="F2" s="13" t="s">
        <v>51</v>
      </c>
      <c r="G2" s="4"/>
      <c r="H2" s="4"/>
      <c r="I2" s="13" t="s">
        <v>137</v>
      </c>
      <c r="J2" s="4" t="str">
        <f>INDEX(A1:A19,MATCH(I2,D:D,0))</f>
        <v>Kanchan</v>
      </c>
      <c r="K2" s="4" t="str">
        <f>INDEX($C$1:$C$19,MATCH(I2,$D$1:$D$19,0),0)</f>
        <v>F</v>
      </c>
      <c r="L2" s="4">
        <f>INDEX($E$1:$E$19,MATCH($I$2,$D$1:$D$19,0),0)</f>
        <v>28000</v>
      </c>
      <c r="M2" s="4" t="str">
        <f>INDEX($F$1:$F$19,MATCH(I2,$D$1:$D$19,0),0)</f>
        <v>HR</v>
      </c>
      <c r="N2" s="4">
        <f>INDEX($B$1:$B$19,MATCH(I2,$D$1:$D$19,0),0)</f>
        <v>27</v>
      </c>
    </row>
    <row r="3" spans="1:14" ht="15" thickBot="1">
      <c r="A3" s="13" t="s">
        <v>138</v>
      </c>
      <c r="B3" s="14">
        <v>28</v>
      </c>
      <c r="C3" s="13" t="s">
        <v>122</v>
      </c>
      <c r="D3" s="13" t="s">
        <v>139</v>
      </c>
      <c r="E3" s="14">
        <v>38000</v>
      </c>
      <c r="F3" s="13" t="s">
        <v>66</v>
      </c>
      <c r="G3" s="4"/>
      <c r="H3" s="4"/>
      <c r="I3" s="13" t="s">
        <v>140</v>
      </c>
      <c r="J3" s="4" t="str">
        <f>INDEX(A1:A20,MATCH(I3,D:D,0))</f>
        <v>Hitesh</v>
      </c>
      <c r="K3" s="4" t="str">
        <f t="shared" ref="K3:K4" si="0">INDEX($C$1:$C$19,MATCH(I3,$D$1:$D$19,0),0)</f>
        <v>M</v>
      </c>
      <c r="L3" s="4">
        <f>INDEX($E$1:$E$19,MATCH(I3,$D$1:$D$19,0),0)</f>
        <v>41500</v>
      </c>
      <c r="M3" s="4" t="str">
        <f t="shared" ref="M3:M4" si="1">INDEX($F$1:$F$19,MATCH(I3,$D$1:$D$19,0),0)</f>
        <v>Logistics</v>
      </c>
      <c r="N3" s="4">
        <f t="shared" ref="N3:N4" si="2">INDEX($B$1:$B$19,MATCH(I3,$D$1:$D$19,0),0)</f>
        <v>25</v>
      </c>
    </row>
    <row r="4" spans="1:14" ht="15" thickBot="1">
      <c r="A4" s="13" t="s">
        <v>141</v>
      </c>
      <c r="B4" s="14">
        <v>27</v>
      </c>
      <c r="C4" s="13" t="s">
        <v>122</v>
      </c>
      <c r="D4" s="13" t="s">
        <v>142</v>
      </c>
      <c r="E4" s="14">
        <v>34500</v>
      </c>
      <c r="F4" s="13" t="s">
        <v>66</v>
      </c>
      <c r="G4" s="4"/>
      <c r="H4" s="4"/>
      <c r="I4" s="13" t="s">
        <v>173</v>
      </c>
      <c r="J4" s="4" t="str">
        <f>INDEX(A1:A21,MATCH(I4,D:D,0))</f>
        <v>Kartik</v>
      </c>
      <c r="K4" s="4" t="str">
        <f t="shared" si="0"/>
        <v>M</v>
      </c>
      <c r="L4" s="4">
        <f>INDEX($E$1:$E$19,MATCH(I4,$D$1:$D$19,0),0)</f>
        <v>50000</v>
      </c>
      <c r="M4" s="4" t="str">
        <f t="shared" si="1"/>
        <v>Sales</v>
      </c>
      <c r="N4" s="4">
        <f t="shared" si="2"/>
        <v>28</v>
      </c>
    </row>
    <row r="5" spans="1:14" ht="15" thickBot="1">
      <c r="A5" s="13" t="s">
        <v>143</v>
      </c>
      <c r="B5" s="14">
        <v>27</v>
      </c>
      <c r="C5" s="13" t="s">
        <v>123</v>
      </c>
      <c r="D5" s="13" t="s">
        <v>137</v>
      </c>
      <c r="E5" s="14">
        <v>28000</v>
      </c>
      <c r="F5" s="13" t="s">
        <v>56</v>
      </c>
      <c r="G5" s="4"/>
      <c r="H5" s="4"/>
      <c r="I5" s="4"/>
      <c r="J5" s="4"/>
      <c r="K5" s="4"/>
      <c r="L5" s="4"/>
      <c r="M5" s="4"/>
      <c r="N5" s="4"/>
    </row>
    <row r="6" spans="1:14" ht="15" thickBot="1">
      <c r="A6" s="13" t="s">
        <v>144</v>
      </c>
      <c r="B6" s="14">
        <v>28</v>
      </c>
      <c r="C6" s="13" t="s">
        <v>122</v>
      </c>
      <c r="D6" s="13" t="s">
        <v>145</v>
      </c>
      <c r="E6" s="14">
        <v>42500</v>
      </c>
      <c r="F6" s="13" t="s">
        <v>146</v>
      </c>
      <c r="G6" s="4"/>
      <c r="H6" s="4"/>
      <c r="I6" s="4"/>
      <c r="J6" s="4"/>
      <c r="K6" s="4"/>
      <c r="L6" s="4"/>
      <c r="M6" s="4"/>
      <c r="N6" s="4"/>
    </row>
    <row r="7" spans="1:14" ht="15" thickBot="1">
      <c r="A7" s="13" t="s">
        <v>147</v>
      </c>
      <c r="B7" s="14">
        <v>27</v>
      </c>
      <c r="C7" s="13" t="s">
        <v>122</v>
      </c>
      <c r="D7" s="13" t="s">
        <v>148</v>
      </c>
      <c r="E7" s="14">
        <v>30000</v>
      </c>
      <c r="F7" s="13" t="s">
        <v>56</v>
      </c>
      <c r="G7" s="4"/>
      <c r="H7" s="4"/>
      <c r="I7" s="4"/>
      <c r="J7" s="4"/>
      <c r="K7" s="4"/>
      <c r="L7" s="4"/>
      <c r="M7" s="4"/>
      <c r="N7" s="4"/>
    </row>
    <row r="8" spans="1:14" ht="15" thickBot="1">
      <c r="A8" s="13" t="s">
        <v>149</v>
      </c>
      <c r="B8" s="14">
        <v>23</v>
      </c>
      <c r="C8" s="13" t="s">
        <v>123</v>
      </c>
      <c r="D8" s="13" t="s">
        <v>150</v>
      </c>
      <c r="E8" s="14">
        <v>25000</v>
      </c>
      <c r="F8" s="13" t="s">
        <v>146</v>
      </c>
      <c r="G8" s="4"/>
      <c r="H8" s="4"/>
      <c r="I8" s="4"/>
      <c r="J8" s="4"/>
      <c r="K8" s="4"/>
      <c r="L8" s="4"/>
      <c r="M8" s="4"/>
      <c r="N8" s="4"/>
    </row>
    <row r="9" spans="1:14" ht="15" thickBot="1">
      <c r="A9" s="13" t="s">
        <v>151</v>
      </c>
      <c r="B9" s="14">
        <v>31</v>
      </c>
      <c r="C9" s="13" t="s">
        <v>122</v>
      </c>
      <c r="D9" s="13" t="s">
        <v>152</v>
      </c>
      <c r="E9" s="14">
        <v>34000</v>
      </c>
      <c r="F9" s="13" t="s">
        <v>51</v>
      </c>
      <c r="G9" s="4"/>
      <c r="H9" s="12" t="s">
        <v>153</v>
      </c>
      <c r="I9" s="12" t="s">
        <v>132</v>
      </c>
      <c r="J9" s="12" t="s">
        <v>39</v>
      </c>
      <c r="K9" s="12" t="s">
        <v>40</v>
      </c>
      <c r="L9" s="12" t="s">
        <v>41</v>
      </c>
      <c r="M9" s="12" t="s">
        <v>44</v>
      </c>
      <c r="N9" s="12" t="s">
        <v>133</v>
      </c>
    </row>
    <row r="10" spans="1:14" ht="15" thickBot="1">
      <c r="A10" s="13" t="s">
        <v>154</v>
      </c>
      <c r="B10" s="14">
        <v>32</v>
      </c>
      <c r="C10" s="13" t="s">
        <v>122</v>
      </c>
      <c r="D10" s="13" t="s">
        <v>155</v>
      </c>
      <c r="E10" s="14">
        <v>35000</v>
      </c>
      <c r="F10" s="13" t="s">
        <v>51</v>
      </c>
      <c r="G10" s="4"/>
      <c r="H10" s="4"/>
      <c r="I10" s="13" t="s">
        <v>156</v>
      </c>
      <c r="J10" s="4"/>
      <c r="K10" s="4"/>
      <c r="L10" s="4"/>
      <c r="M10" s="4"/>
      <c r="N10" s="4"/>
    </row>
    <row r="11" spans="1:14" ht="15" thickBot="1">
      <c r="A11" s="13" t="s">
        <v>157</v>
      </c>
      <c r="B11" s="14">
        <v>28</v>
      </c>
      <c r="C11" s="13" t="s">
        <v>122</v>
      </c>
      <c r="D11" s="13" t="s">
        <v>158</v>
      </c>
      <c r="E11" s="14">
        <v>47000</v>
      </c>
      <c r="F11" s="13" t="s">
        <v>66</v>
      </c>
      <c r="G11" s="4"/>
      <c r="H11" s="4"/>
      <c r="I11" s="13" t="s">
        <v>150</v>
      </c>
      <c r="J11" s="4"/>
      <c r="K11" s="4"/>
      <c r="L11" s="4"/>
      <c r="M11" s="4"/>
      <c r="N11" s="4"/>
    </row>
    <row r="12" spans="1:14" ht="15" thickBot="1">
      <c r="A12" s="13" t="s">
        <v>159</v>
      </c>
      <c r="B12" s="14">
        <v>27</v>
      </c>
      <c r="C12" s="13" t="s">
        <v>122</v>
      </c>
      <c r="D12" s="13" t="s">
        <v>160</v>
      </c>
      <c r="E12" s="14">
        <v>53000</v>
      </c>
      <c r="F12" s="13" t="s">
        <v>51</v>
      </c>
      <c r="G12" s="4"/>
      <c r="H12" s="4"/>
      <c r="I12" s="4"/>
      <c r="J12" s="4"/>
      <c r="K12" s="4"/>
      <c r="L12" s="4"/>
      <c r="M12" s="4"/>
      <c r="N12" s="4"/>
    </row>
    <row r="13" spans="1:14" ht="15" thickBot="1">
      <c r="A13" s="13" t="s">
        <v>161</v>
      </c>
      <c r="B13" s="14">
        <v>26</v>
      </c>
      <c r="C13" s="13" t="s">
        <v>122</v>
      </c>
      <c r="D13" s="13" t="s">
        <v>162</v>
      </c>
      <c r="E13" s="14">
        <v>37500</v>
      </c>
      <c r="F13" s="13" t="s">
        <v>163</v>
      </c>
      <c r="G13" s="4"/>
      <c r="H13" s="4"/>
      <c r="I13" s="4"/>
      <c r="J13" s="4"/>
      <c r="K13" s="4"/>
      <c r="L13" s="4"/>
      <c r="M13" s="4"/>
      <c r="N13" s="4"/>
    </row>
    <row r="14" spans="1:14" ht="15" thickBot="1">
      <c r="A14" s="13" t="s">
        <v>164</v>
      </c>
      <c r="B14" s="14">
        <v>29</v>
      </c>
      <c r="C14" s="13" t="s">
        <v>123</v>
      </c>
      <c r="D14" s="13" t="s">
        <v>165</v>
      </c>
      <c r="E14" s="14">
        <v>40000</v>
      </c>
      <c r="F14" s="13" t="s">
        <v>163</v>
      </c>
      <c r="G14" s="4"/>
      <c r="H14" s="4"/>
      <c r="I14" s="4"/>
      <c r="J14" s="4"/>
      <c r="K14" s="4"/>
      <c r="L14" s="4"/>
      <c r="M14" s="4"/>
      <c r="N14" s="4"/>
    </row>
    <row r="15" spans="1:14" ht="15" thickBot="1">
      <c r="A15" s="13" t="s">
        <v>166</v>
      </c>
      <c r="B15" s="14">
        <v>27</v>
      </c>
      <c r="C15" s="13" t="s">
        <v>123</v>
      </c>
      <c r="D15" s="13" t="s">
        <v>156</v>
      </c>
      <c r="E15" s="14">
        <v>42500</v>
      </c>
      <c r="F15" s="13" t="s">
        <v>66</v>
      </c>
      <c r="G15" s="4"/>
      <c r="H15" s="4"/>
      <c r="I15" s="4"/>
      <c r="J15" s="4"/>
      <c r="K15" s="4"/>
      <c r="L15" s="4"/>
      <c r="M15" s="4"/>
      <c r="N15" s="4"/>
    </row>
    <row r="16" spans="1:14" ht="15" thickBot="1">
      <c r="A16" s="13" t="s">
        <v>167</v>
      </c>
      <c r="B16" s="14">
        <v>28</v>
      </c>
      <c r="C16" s="13" t="s">
        <v>122</v>
      </c>
      <c r="D16" s="13" t="s">
        <v>168</v>
      </c>
      <c r="E16" s="14">
        <v>34500</v>
      </c>
      <c r="F16" s="13" t="s">
        <v>163</v>
      </c>
      <c r="G16" s="4"/>
      <c r="H16" s="4"/>
      <c r="I16" s="4"/>
      <c r="J16" s="4"/>
      <c r="K16" s="4"/>
      <c r="L16" s="4"/>
      <c r="M16" s="4"/>
      <c r="N16" s="4"/>
    </row>
    <row r="17" spans="1:14" ht="15" thickBot="1">
      <c r="A17" s="13" t="s">
        <v>169</v>
      </c>
      <c r="B17" s="14">
        <v>25</v>
      </c>
      <c r="C17" s="13" t="s">
        <v>122</v>
      </c>
      <c r="D17" s="13" t="s">
        <v>140</v>
      </c>
      <c r="E17" s="14">
        <v>41500</v>
      </c>
      <c r="F17" s="13" t="s">
        <v>163</v>
      </c>
      <c r="G17" s="4"/>
      <c r="H17" s="4"/>
      <c r="I17" s="4"/>
      <c r="J17" s="4"/>
      <c r="K17" s="4"/>
      <c r="L17" s="4"/>
      <c r="M17" s="4"/>
      <c r="N17" s="4"/>
    </row>
    <row r="18" spans="1:14" ht="15" thickBot="1">
      <c r="A18" s="13" t="s">
        <v>170</v>
      </c>
      <c r="B18" s="14">
        <v>26</v>
      </c>
      <c r="C18" s="13" t="s">
        <v>123</v>
      </c>
      <c r="D18" s="13" t="s">
        <v>171</v>
      </c>
      <c r="E18" s="14">
        <v>52500</v>
      </c>
      <c r="F18" s="13" t="s">
        <v>51</v>
      </c>
      <c r="G18" s="4"/>
      <c r="H18" s="4"/>
      <c r="I18" s="4"/>
      <c r="J18" s="4"/>
      <c r="K18" s="4"/>
      <c r="L18" s="4"/>
      <c r="M18" s="4"/>
      <c r="N18" s="4"/>
    </row>
    <row r="19" spans="1:14" ht="15" thickBot="1">
      <c r="A19" s="13" t="s">
        <v>172</v>
      </c>
      <c r="B19" s="14">
        <v>28</v>
      </c>
      <c r="C19" s="13" t="s">
        <v>122</v>
      </c>
      <c r="D19" s="13" t="s">
        <v>173</v>
      </c>
      <c r="E19" s="14">
        <v>50000</v>
      </c>
      <c r="F19" s="13" t="s">
        <v>66</v>
      </c>
      <c r="G19" s="4"/>
      <c r="H19" s="4"/>
      <c r="I19" s="4"/>
      <c r="J19" s="4"/>
      <c r="K19" s="4"/>
      <c r="L19" s="4"/>
      <c r="M19" s="4"/>
      <c r="N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workbookViewId="0">
      <selection activeCell="M4" sqref="M4"/>
    </sheetView>
  </sheetViews>
  <sheetFormatPr defaultRowHeight="14.4"/>
  <cols>
    <col min="5" max="5" width="20.77734375" bestFit="1" customWidth="1"/>
    <col min="6" max="6" width="7.109375" bestFit="1" customWidth="1"/>
    <col min="7" max="7" width="23.5546875" bestFit="1" customWidth="1"/>
    <col min="8" max="8" width="11.44140625" bestFit="1" customWidth="1"/>
    <col min="9" max="9" width="30.88671875" bestFit="1" customWidth="1"/>
    <col min="10" max="10" width="10.33203125" bestFit="1" customWidth="1"/>
    <col min="11" max="11" width="10.33203125" customWidth="1"/>
    <col min="12" max="12" width="35.5546875" bestFit="1" customWidth="1"/>
  </cols>
  <sheetData>
    <row r="1" spans="1:13">
      <c r="A1" s="3" t="s">
        <v>332</v>
      </c>
    </row>
    <row r="2" spans="1:13" ht="15" thickBot="1">
      <c r="A2" t="s">
        <v>44</v>
      </c>
      <c r="B2" t="s">
        <v>174</v>
      </c>
    </row>
    <row r="3" spans="1:13" ht="15" thickBot="1">
      <c r="A3">
        <v>10000</v>
      </c>
      <c r="B3" t="str">
        <f>IF(A3&lt;=30000,"Basic Card",IF(A3&gt;3000,"Platinum card"))</f>
        <v>Basic Card</v>
      </c>
      <c r="E3" s="15" t="s">
        <v>39</v>
      </c>
      <c r="F3" s="15" t="s">
        <v>41</v>
      </c>
      <c r="G3" s="15" t="s">
        <v>42</v>
      </c>
      <c r="H3" s="16" t="s">
        <v>44</v>
      </c>
      <c r="I3" s="15" t="s">
        <v>175</v>
      </c>
      <c r="J3" s="15" t="s">
        <v>176</v>
      </c>
      <c r="K3" s="24"/>
      <c r="L3" s="28" t="s">
        <v>333</v>
      </c>
    </row>
    <row r="4" spans="1:13" ht="15" thickBot="1">
      <c r="A4">
        <v>30000</v>
      </c>
      <c r="B4" t="str">
        <f t="shared" ref="B4:B7" si="0">IF(A4&lt;=30000,"Basic Card",IF(A4&gt;3000,"Platinum card"))</f>
        <v>Basic Card</v>
      </c>
      <c r="E4" s="17" t="s">
        <v>177</v>
      </c>
      <c r="F4" s="17" t="s">
        <v>50</v>
      </c>
      <c r="G4" s="17" t="s">
        <v>178</v>
      </c>
      <c r="H4" s="18">
        <v>82240.77</v>
      </c>
      <c r="I4" s="17" t="s">
        <v>179</v>
      </c>
      <c r="J4" s="19">
        <v>43924</v>
      </c>
      <c r="K4" s="25"/>
      <c r="L4" s="23" t="s">
        <v>50</v>
      </c>
      <c r="M4">
        <f>COUNTIF(F:F,"Male")</f>
        <v>48</v>
      </c>
    </row>
    <row r="5" spans="1:13" ht="15" thickBot="1">
      <c r="A5">
        <v>50000</v>
      </c>
      <c r="B5" t="str">
        <f t="shared" si="0"/>
        <v>Platinum card</v>
      </c>
      <c r="E5" s="17" t="s">
        <v>180</v>
      </c>
      <c r="F5" s="17" t="s">
        <v>55</v>
      </c>
      <c r="G5" s="17" t="s">
        <v>181</v>
      </c>
      <c r="H5" s="20" t="s">
        <v>182</v>
      </c>
      <c r="I5" s="17" t="s">
        <v>179</v>
      </c>
      <c r="J5" s="20" t="s">
        <v>183</v>
      </c>
      <c r="K5" s="26"/>
      <c r="L5" s="29" t="s">
        <v>334</v>
      </c>
      <c r="M5" t="str">
        <f>VLOOKUP(E4,E3:H94,3,0)</f>
        <v>NULL</v>
      </c>
    </row>
    <row r="6" spans="1:13" ht="15" thickBot="1">
      <c r="A6">
        <v>60000</v>
      </c>
      <c r="B6" t="str">
        <f t="shared" si="0"/>
        <v>Platinum card</v>
      </c>
      <c r="E6" s="17" t="s">
        <v>184</v>
      </c>
      <c r="F6" s="17" t="s">
        <v>50</v>
      </c>
      <c r="G6" s="17" t="s">
        <v>185</v>
      </c>
      <c r="H6" s="9"/>
      <c r="I6" s="17" t="s">
        <v>179</v>
      </c>
      <c r="J6" s="19">
        <v>43529</v>
      </c>
      <c r="K6" s="27"/>
    </row>
    <row r="7" spans="1:13" ht="15" thickBot="1">
      <c r="A7">
        <v>25000</v>
      </c>
      <c r="B7" t="str">
        <f t="shared" si="0"/>
        <v>Basic Card</v>
      </c>
      <c r="E7" s="17" t="s">
        <v>186</v>
      </c>
      <c r="F7" s="17" t="s">
        <v>50</v>
      </c>
      <c r="G7" s="17" t="s">
        <v>187</v>
      </c>
      <c r="H7" s="18">
        <v>61624.77</v>
      </c>
      <c r="I7" s="17" t="s">
        <v>188</v>
      </c>
      <c r="J7" s="20" t="s">
        <v>189</v>
      </c>
      <c r="K7" s="26"/>
      <c r="L7" t="s">
        <v>335</v>
      </c>
      <c r="M7">
        <f>MATCH("Training",G:G,0)</f>
        <v>6</v>
      </c>
    </row>
    <row r="8" spans="1:13" ht="15" thickBot="1">
      <c r="E8" s="17" t="s">
        <v>186</v>
      </c>
      <c r="F8" s="17" t="s">
        <v>50</v>
      </c>
      <c r="G8" s="17" t="s">
        <v>187</v>
      </c>
      <c r="H8" s="18">
        <v>61624.77</v>
      </c>
      <c r="I8" s="17" t="s">
        <v>179</v>
      </c>
      <c r="J8" s="20" t="s">
        <v>190</v>
      </c>
      <c r="K8" s="26"/>
    </row>
    <row r="9" spans="1:13" ht="15" thickBot="1">
      <c r="E9" s="17" t="s">
        <v>191</v>
      </c>
      <c r="F9" s="17" t="s">
        <v>55</v>
      </c>
      <c r="G9" s="17" t="s">
        <v>192</v>
      </c>
      <c r="H9" s="18">
        <v>76998.38</v>
      </c>
      <c r="I9" s="17" t="s">
        <v>179</v>
      </c>
      <c r="J9" s="20" t="s">
        <v>193</v>
      </c>
      <c r="K9" s="26"/>
      <c r="L9" t="s">
        <v>336</v>
      </c>
      <c r="M9" t="str">
        <f>INDEX(G3:G94,6,0)</f>
        <v>Engineering</v>
      </c>
    </row>
    <row r="10" spans="1:13" ht="15" thickBot="1">
      <c r="E10" s="17" t="s">
        <v>194</v>
      </c>
      <c r="F10" s="17" t="s">
        <v>55</v>
      </c>
      <c r="G10" s="17" t="s">
        <v>187</v>
      </c>
      <c r="H10" s="18">
        <v>32716.22</v>
      </c>
      <c r="I10" s="17" t="s">
        <v>195</v>
      </c>
      <c r="J10" s="20" t="s">
        <v>196</v>
      </c>
      <c r="K10" s="26"/>
    </row>
    <row r="11" spans="1:13" ht="15" thickBot="1">
      <c r="E11" s="17" t="s">
        <v>197</v>
      </c>
      <c r="F11" s="17" t="s">
        <v>55</v>
      </c>
      <c r="G11" s="17" t="s">
        <v>198</v>
      </c>
      <c r="H11" s="18">
        <v>72502.61</v>
      </c>
      <c r="I11" s="17" t="s">
        <v>179</v>
      </c>
      <c r="J11" s="19">
        <v>44142</v>
      </c>
      <c r="K11" s="27"/>
    </row>
    <row r="12" spans="1:13" ht="15" thickBot="1">
      <c r="E12" s="17" t="s">
        <v>197</v>
      </c>
      <c r="F12" s="17" t="s">
        <v>55</v>
      </c>
      <c r="G12" s="17" t="s">
        <v>198</v>
      </c>
      <c r="H12" s="18">
        <v>72502.61</v>
      </c>
      <c r="I12" s="17" t="s">
        <v>188</v>
      </c>
      <c r="J12" s="20" t="s">
        <v>199</v>
      </c>
      <c r="K12" s="26"/>
    </row>
    <row r="13" spans="1:13" ht="15" thickBot="1">
      <c r="E13" s="17" t="s">
        <v>200</v>
      </c>
      <c r="F13" s="17" t="s">
        <v>50</v>
      </c>
      <c r="G13" s="17" t="s">
        <v>192</v>
      </c>
      <c r="H13" s="18">
        <v>28132.33</v>
      </c>
      <c r="I13" s="17" t="s">
        <v>188</v>
      </c>
      <c r="J13" s="20" t="s">
        <v>201</v>
      </c>
      <c r="K13" s="26"/>
    </row>
    <row r="14" spans="1:13" ht="15" thickBot="1">
      <c r="E14" s="17" t="s">
        <v>202</v>
      </c>
      <c r="F14" s="17" t="s">
        <v>50</v>
      </c>
      <c r="G14" s="17" t="s">
        <v>198</v>
      </c>
      <c r="H14" s="18">
        <v>66461.919999999998</v>
      </c>
      <c r="I14" s="17" t="s">
        <v>179</v>
      </c>
      <c r="J14" s="19">
        <v>43834</v>
      </c>
      <c r="K14" s="27"/>
    </row>
    <row r="15" spans="1:13" ht="15" thickBot="1">
      <c r="E15" s="17" t="s">
        <v>203</v>
      </c>
      <c r="F15" s="17" t="s">
        <v>50</v>
      </c>
      <c r="G15" s="17" t="s">
        <v>204</v>
      </c>
      <c r="H15" s="18">
        <v>95017.1</v>
      </c>
      <c r="I15" s="17" t="s">
        <v>179</v>
      </c>
      <c r="J15" s="20" t="s">
        <v>205</v>
      </c>
      <c r="K15" s="26"/>
    </row>
    <row r="16" spans="1:13" ht="15" thickBot="1">
      <c r="E16" s="17" t="s">
        <v>206</v>
      </c>
      <c r="F16" s="17" t="s">
        <v>50</v>
      </c>
      <c r="G16" s="17" t="s">
        <v>204</v>
      </c>
      <c r="H16" s="18">
        <v>45512.1</v>
      </c>
      <c r="I16" s="17" t="s">
        <v>195</v>
      </c>
      <c r="J16" s="19">
        <v>43477</v>
      </c>
      <c r="K16" s="27"/>
    </row>
    <row r="17" spans="5:11" ht="15" thickBot="1">
      <c r="E17" s="17" t="s">
        <v>207</v>
      </c>
      <c r="F17" s="17" t="s">
        <v>55</v>
      </c>
      <c r="G17" s="17" t="s">
        <v>208</v>
      </c>
      <c r="H17" s="18">
        <v>41155.71</v>
      </c>
      <c r="I17" s="17" t="s">
        <v>179</v>
      </c>
      <c r="J17" s="19">
        <v>43499</v>
      </c>
      <c r="K17" s="27"/>
    </row>
    <row r="18" spans="5:11" ht="15" thickBot="1">
      <c r="E18" s="17" t="s">
        <v>207</v>
      </c>
      <c r="F18" s="17" t="s">
        <v>55</v>
      </c>
      <c r="G18" s="17" t="s">
        <v>208</v>
      </c>
      <c r="H18" s="18">
        <v>41155.71</v>
      </c>
      <c r="I18" s="17" t="s">
        <v>188</v>
      </c>
      <c r="J18" s="19">
        <v>43656</v>
      </c>
      <c r="K18" s="27"/>
    </row>
    <row r="19" spans="5:11" ht="15" thickBot="1">
      <c r="E19" s="17" t="s">
        <v>209</v>
      </c>
      <c r="F19" s="17" t="s">
        <v>55</v>
      </c>
      <c r="G19" s="17" t="s">
        <v>210</v>
      </c>
      <c r="H19" s="18">
        <v>32496.880000000001</v>
      </c>
      <c r="I19" s="17" t="s">
        <v>179</v>
      </c>
      <c r="J19" s="20" t="s">
        <v>211</v>
      </c>
      <c r="K19" s="26"/>
    </row>
    <row r="20" spans="5:11" ht="15" thickBot="1">
      <c r="E20" s="17" t="s">
        <v>212</v>
      </c>
      <c r="F20" s="17" t="s">
        <v>55</v>
      </c>
      <c r="G20" s="17" t="s">
        <v>70</v>
      </c>
      <c r="H20" s="18">
        <v>48591.73</v>
      </c>
      <c r="I20" s="17" t="s">
        <v>195</v>
      </c>
      <c r="J20" s="19">
        <v>43739</v>
      </c>
      <c r="K20" s="27"/>
    </row>
    <row r="21" spans="5:11" ht="15" thickBot="1">
      <c r="E21" s="17" t="s">
        <v>213</v>
      </c>
      <c r="F21" s="17" t="s">
        <v>50</v>
      </c>
      <c r="G21" s="17" t="s">
        <v>198</v>
      </c>
      <c r="H21" s="18">
        <v>89960.6</v>
      </c>
      <c r="I21" s="17" t="s">
        <v>179</v>
      </c>
      <c r="J21" s="20" t="s">
        <v>214</v>
      </c>
      <c r="K21" s="26"/>
    </row>
    <row r="22" spans="5:11" ht="15" thickBot="1">
      <c r="E22" s="17" t="s">
        <v>215</v>
      </c>
      <c r="F22" s="17" t="s">
        <v>50</v>
      </c>
      <c r="G22" s="17" t="s">
        <v>181</v>
      </c>
      <c r="H22" s="18">
        <v>85918.61</v>
      </c>
      <c r="I22" s="17" t="s">
        <v>188</v>
      </c>
      <c r="J22" s="20" t="s">
        <v>216</v>
      </c>
      <c r="K22" s="26"/>
    </row>
    <row r="23" spans="5:11" ht="15" thickBot="1">
      <c r="E23" s="17" t="s">
        <v>217</v>
      </c>
      <c r="F23" s="17" t="s">
        <v>50</v>
      </c>
      <c r="G23" s="17" t="s">
        <v>187</v>
      </c>
      <c r="H23" s="18">
        <v>78443.78</v>
      </c>
      <c r="I23" s="17" t="s">
        <v>179</v>
      </c>
      <c r="J23" s="20" t="s">
        <v>218</v>
      </c>
      <c r="K23" s="26"/>
    </row>
    <row r="24" spans="5:11" ht="15" thickBot="1">
      <c r="E24" s="17" t="s">
        <v>219</v>
      </c>
      <c r="F24" s="17" t="s">
        <v>50</v>
      </c>
      <c r="G24" s="17" t="s">
        <v>198</v>
      </c>
      <c r="H24" s="18">
        <v>37550.51</v>
      </c>
      <c r="I24" s="17" t="s">
        <v>188</v>
      </c>
      <c r="J24" s="19">
        <v>43747</v>
      </c>
      <c r="K24" s="27"/>
    </row>
    <row r="25" spans="5:11" ht="15" thickBot="1">
      <c r="E25" s="17" t="s">
        <v>220</v>
      </c>
      <c r="F25" s="17" t="s">
        <v>50</v>
      </c>
      <c r="G25" s="17" t="s">
        <v>210</v>
      </c>
      <c r="H25" s="20" t="s">
        <v>221</v>
      </c>
      <c r="I25" s="17" t="s">
        <v>188</v>
      </c>
      <c r="J25" s="20" t="s">
        <v>189</v>
      </c>
      <c r="K25" s="26"/>
    </row>
    <row r="26" spans="5:11" ht="15" thickBot="1">
      <c r="E26" s="17" t="s">
        <v>222</v>
      </c>
      <c r="F26" s="17" t="s">
        <v>55</v>
      </c>
      <c r="G26" s="17" t="s">
        <v>66</v>
      </c>
      <c r="H26" s="18">
        <v>83748.259999999995</v>
      </c>
      <c r="I26" s="17" t="s">
        <v>188</v>
      </c>
      <c r="J26" s="20" t="s">
        <v>223</v>
      </c>
      <c r="K26" s="26"/>
    </row>
    <row r="27" spans="5:11" ht="15" thickBot="1">
      <c r="E27" s="17" t="s">
        <v>224</v>
      </c>
      <c r="F27" s="17" t="s">
        <v>50</v>
      </c>
      <c r="G27" s="17" t="s">
        <v>198</v>
      </c>
      <c r="H27" s="18">
        <v>87806.25</v>
      </c>
      <c r="I27" s="17" t="s">
        <v>188</v>
      </c>
      <c r="J27" s="19">
        <v>43473</v>
      </c>
      <c r="K27" s="27"/>
    </row>
    <row r="28" spans="5:11" ht="15" thickBot="1">
      <c r="E28" s="17" t="s">
        <v>225</v>
      </c>
      <c r="F28" s="17" t="s">
        <v>55</v>
      </c>
      <c r="G28" s="17" t="s">
        <v>70</v>
      </c>
      <c r="H28" s="20" t="s">
        <v>226</v>
      </c>
      <c r="I28" s="17" t="s">
        <v>179</v>
      </c>
      <c r="J28" s="20" t="s">
        <v>227</v>
      </c>
      <c r="K28" s="26"/>
    </row>
    <row r="29" spans="5:11" ht="15" thickBot="1">
      <c r="E29" s="17" t="s">
        <v>228</v>
      </c>
      <c r="F29" s="17" t="s">
        <v>50</v>
      </c>
      <c r="G29" s="17" t="s">
        <v>181</v>
      </c>
      <c r="H29" s="18">
        <v>80169.42</v>
      </c>
      <c r="I29" s="17" t="s">
        <v>179</v>
      </c>
      <c r="J29" s="20" t="s">
        <v>229</v>
      </c>
      <c r="K29" s="26"/>
    </row>
    <row r="30" spans="5:11" ht="15" thickBot="1">
      <c r="E30" s="17" t="s">
        <v>230</v>
      </c>
      <c r="F30" s="17" t="s">
        <v>55</v>
      </c>
      <c r="G30" s="17" t="s">
        <v>208</v>
      </c>
      <c r="H30" s="18">
        <v>71180.77</v>
      </c>
      <c r="I30" s="17" t="s">
        <v>188</v>
      </c>
      <c r="J30" s="20" t="s">
        <v>231</v>
      </c>
      <c r="K30" s="26"/>
    </row>
    <row r="31" spans="5:11" ht="15" thickBot="1">
      <c r="E31" s="17" t="s">
        <v>232</v>
      </c>
      <c r="F31" s="17" t="s">
        <v>50</v>
      </c>
      <c r="G31" s="17" t="s">
        <v>181</v>
      </c>
      <c r="H31" s="18">
        <v>90884.32</v>
      </c>
      <c r="I31" s="17" t="s">
        <v>195</v>
      </c>
      <c r="J31" s="19">
        <v>44014</v>
      </c>
      <c r="K31" s="27"/>
    </row>
    <row r="32" spans="5:11" ht="15" thickBot="1">
      <c r="E32" s="17" t="s">
        <v>232</v>
      </c>
      <c r="F32" s="17" t="s">
        <v>50</v>
      </c>
      <c r="G32" s="17" t="s">
        <v>181</v>
      </c>
      <c r="H32" s="18">
        <v>90884.32</v>
      </c>
      <c r="I32" s="17" t="s">
        <v>188</v>
      </c>
      <c r="J32" s="19">
        <v>44111</v>
      </c>
      <c r="K32" s="27"/>
    </row>
    <row r="33" spans="5:11" ht="15" thickBot="1">
      <c r="E33" s="17" t="s">
        <v>233</v>
      </c>
      <c r="F33" s="17" t="s">
        <v>50</v>
      </c>
      <c r="G33" s="17" t="s">
        <v>66</v>
      </c>
      <c r="H33" s="18">
        <v>60264.93</v>
      </c>
      <c r="I33" s="17" t="s">
        <v>188</v>
      </c>
      <c r="J33" s="20" t="s">
        <v>234</v>
      </c>
      <c r="K33" s="26"/>
    </row>
    <row r="34" spans="5:11" ht="15" thickBot="1">
      <c r="E34" s="17" t="s">
        <v>235</v>
      </c>
      <c r="F34" s="17" t="s">
        <v>55</v>
      </c>
      <c r="G34" s="17" t="s">
        <v>210</v>
      </c>
      <c r="H34" s="18">
        <v>75733.740000000005</v>
      </c>
      <c r="I34" s="17" t="s">
        <v>195</v>
      </c>
      <c r="J34" s="19">
        <v>43503</v>
      </c>
      <c r="K34" s="27"/>
    </row>
    <row r="35" spans="5:11" ht="15" thickBot="1">
      <c r="E35" s="17" t="s">
        <v>236</v>
      </c>
      <c r="F35" s="17" t="s">
        <v>55</v>
      </c>
      <c r="G35" s="17" t="s">
        <v>66</v>
      </c>
      <c r="H35" s="18">
        <v>60327.47</v>
      </c>
      <c r="I35" s="17" t="s">
        <v>179</v>
      </c>
      <c r="J35" s="20" t="s">
        <v>237</v>
      </c>
      <c r="K35" s="26"/>
    </row>
    <row r="36" spans="5:11" ht="15" thickBot="1">
      <c r="E36" s="17" t="s">
        <v>238</v>
      </c>
      <c r="F36" s="17" t="s">
        <v>50</v>
      </c>
      <c r="G36" s="17" t="s">
        <v>187</v>
      </c>
      <c r="H36" s="20" t="s">
        <v>239</v>
      </c>
      <c r="I36" s="17" t="s">
        <v>179</v>
      </c>
      <c r="J36" s="19">
        <v>43592</v>
      </c>
      <c r="K36" s="27"/>
    </row>
    <row r="37" spans="5:11" ht="15" thickBot="1">
      <c r="E37" s="17" t="s">
        <v>240</v>
      </c>
      <c r="F37" s="17" t="s">
        <v>55</v>
      </c>
      <c r="G37" s="17" t="s">
        <v>187</v>
      </c>
      <c r="H37" s="18">
        <v>37128.339999999997</v>
      </c>
      <c r="I37" s="17" t="s">
        <v>179</v>
      </c>
      <c r="J37" s="20" t="s">
        <v>241</v>
      </c>
      <c r="K37" s="26"/>
    </row>
    <row r="38" spans="5:11" ht="15" thickBot="1">
      <c r="E38" s="17" t="s">
        <v>242</v>
      </c>
      <c r="F38" s="17" t="s">
        <v>55</v>
      </c>
      <c r="G38" s="17" t="s">
        <v>208</v>
      </c>
      <c r="H38" s="18">
        <v>60576.12</v>
      </c>
      <c r="I38" s="17" t="s">
        <v>195</v>
      </c>
      <c r="J38" s="20" t="s">
        <v>243</v>
      </c>
      <c r="K38" s="26"/>
    </row>
    <row r="39" spans="5:11" ht="15" thickBot="1">
      <c r="E39" s="17" t="s">
        <v>242</v>
      </c>
      <c r="F39" s="17" t="s">
        <v>55</v>
      </c>
      <c r="G39" s="17" t="s">
        <v>208</v>
      </c>
      <c r="H39" s="18">
        <v>60576.12</v>
      </c>
      <c r="I39" s="17" t="s">
        <v>179</v>
      </c>
      <c r="J39" s="19">
        <v>44017</v>
      </c>
      <c r="K39" s="27"/>
    </row>
    <row r="40" spans="5:11" ht="15" thickBot="1">
      <c r="E40" s="21" t="s">
        <v>244</v>
      </c>
      <c r="F40" s="22"/>
      <c r="G40" s="17" t="s">
        <v>187</v>
      </c>
      <c r="H40" s="18">
        <v>69457.740000000005</v>
      </c>
      <c r="I40" s="17" t="s">
        <v>188</v>
      </c>
      <c r="J40" s="20" t="s">
        <v>245</v>
      </c>
      <c r="K40" s="26"/>
    </row>
    <row r="41" spans="5:11" ht="15" thickBot="1">
      <c r="E41" s="17" t="s">
        <v>246</v>
      </c>
      <c r="F41" s="17" t="s">
        <v>50</v>
      </c>
      <c r="G41" s="17" t="s">
        <v>210</v>
      </c>
      <c r="H41" s="20" t="s">
        <v>247</v>
      </c>
      <c r="I41" s="17" t="s">
        <v>195</v>
      </c>
      <c r="J41" s="20" t="s">
        <v>248</v>
      </c>
      <c r="K41" s="26"/>
    </row>
    <row r="42" spans="5:11" ht="15" thickBot="1">
      <c r="E42" s="17" t="s">
        <v>249</v>
      </c>
      <c r="F42" s="17" t="s">
        <v>50</v>
      </c>
      <c r="G42" s="17" t="s">
        <v>250</v>
      </c>
      <c r="H42" s="18">
        <v>67633.850000000006</v>
      </c>
      <c r="I42" s="17" t="s">
        <v>188</v>
      </c>
      <c r="J42" s="19">
        <v>43628</v>
      </c>
      <c r="K42" s="27"/>
    </row>
    <row r="43" spans="5:11" ht="15" thickBot="1">
      <c r="E43" s="17" t="s">
        <v>251</v>
      </c>
      <c r="F43" s="17" t="s">
        <v>50</v>
      </c>
      <c r="G43" s="17" t="s">
        <v>208</v>
      </c>
      <c r="H43" s="18">
        <v>69862.38</v>
      </c>
      <c r="I43" s="17" t="s">
        <v>179</v>
      </c>
      <c r="J43" s="20" t="s">
        <v>252</v>
      </c>
      <c r="K43" s="26"/>
    </row>
    <row r="44" spans="5:11" ht="15" thickBot="1">
      <c r="E44" s="17" t="s">
        <v>251</v>
      </c>
      <c r="F44" s="17" t="s">
        <v>50</v>
      </c>
      <c r="G44" s="17" t="s">
        <v>208</v>
      </c>
      <c r="H44" s="18">
        <v>69862.38</v>
      </c>
      <c r="I44" s="17" t="s">
        <v>195</v>
      </c>
      <c r="J44" s="19">
        <v>43867</v>
      </c>
      <c r="K44" s="27"/>
    </row>
    <row r="45" spans="5:11" ht="15" thickBot="1">
      <c r="E45" s="17" t="s">
        <v>253</v>
      </c>
      <c r="F45" s="17" t="s">
        <v>55</v>
      </c>
      <c r="G45" s="17" t="s">
        <v>210</v>
      </c>
      <c r="H45" s="18">
        <v>85003.93</v>
      </c>
      <c r="I45" s="17" t="s">
        <v>195</v>
      </c>
      <c r="J45" s="20" t="s">
        <v>254</v>
      </c>
      <c r="K45" s="26"/>
    </row>
    <row r="46" spans="5:11" ht="15" thickBot="1">
      <c r="E46" s="21" t="s">
        <v>255</v>
      </c>
      <c r="F46" s="22"/>
      <c r="G46" s="17" t="s">
        <v>198</v>
      </c>
      <c r="H46" s="18">
        <v>36476.639999999999</v>
      </c>
      <c r="I46" s="17" t="s">
        <v>188</v>
      </c>
      <c r="J46" s="19">
        <v>43473</v>
      </c>
      <c r="K46" s="27"/>
    </row>
    <row r="47" spans="5:11" ht="15" thickBot="1">
      <c r="E47" s="17" t="s">
        <v>256</v>
      </c>
      <c r="F47" s="17" t="s">
        <v>55</v>
      </c>
      <c r="G47" s="17" t="s">
        <v>250</v>
      </c>
      <c r="H47" s="18">
        <v>32166.28</v>
      </c>
      <c r="I47" s="17" t="s">
        <v>188</v>
      </c>
      <c r="J47" s="20" t="s">
        <v>257</v>
      </c>
      <c r="K47" s="26"/>
    </row>
    <row r="48" spans="5:11" ht="15" thickBot="1">
      <c r="E48" s="17" t="s">
        <v>258</v>
      </c>
      <c r="F48" s="17" t="s">
        <v>55</v>
      </c>
      <c r="G48" s="17" t="s">
        <v>187</v>
      </c>
      <c r="H48" s="18">
        <v>78392.92</v>
      </c>
      <c r="I48" s="17" t="s">
        <v>188</v>
      </c>
      <c r="J48" s="20" t="s">
        <v>259</v>
      </c>
      <c r="K48" s="26"/>
    </row>
    <row r="49" spans="5:11" ht="15" thickBot="1">
      <c r="E49" s="17" t="s">
        <v>260</v>
      </c>
      <c r="F49" s="17" t="s">
        <v>50</v>
      </c>
      <c r="G49" s="17" t="s">
        <v>181</v>
      </c>
      <c r="H49" s="20" t="s">
        <v>261</v>
      </c>
      <c r="I49" s="17" t="s">
        <v>179</v>
      </c>
      <c r="J49" s="20" t="s">
        <v>262</v>
      </c>
      <c r="K49" s="26"/>
    </row>
    <row r="50" spans="5:11" ht="15" thickBot="1">
      <c r="E50" s="17" t="s">
        <v>263</v>
      </c>
      <c r="F50" s="17" t="s">
        <v>50</v>
      </c>
      <c r="G50" s="17" t="s">
        <v>178</v>
      </c>
      <c r="H50" s="9"/>
      <c r="I50" s="17" t="s">
        <v>179</v>
      </c>
      <c r="J50" s="19">
        <v>43533</v>
      </c>
      <c r="K50" s="27"/>
    </row>
    <row r="51" spans="5:11" ht="15" thickBot="1">
      <c r="E51" s="17" t="s">
        <v>264</v>
      </c>
      <c r="F51" s="17" t="s">
        <v>50</v>
      </c>
      <c r="G51" s="17" t="s">
        <v>192</v>
      </c>
      <c r="H51" s="18">
        <v>41420.28</v>
      </c>
      <c r="I51" s="17" t="s">
        <v>188</v>
      </c>
      <c r="J51" s="20" t="s">
        <v>265</v>
      </c>
      <c r="K51" s="26"/>
    </row>
    <row r="52" spans="5:11" ht="15" thickBot="1">
      <c r="E52" s="17" t="s">
        <v>266</v>
      </c>
      <c r="F52" s="17" t="s">
        <v>50</v>
      </c>
      <c r="G52" s="17" t="s">
        <v>185</v>
      </c>
      <c r="H52" s="18">
        <v>54974.11</v>
      </c>
      <c r="I52" s="17" t="s">
        <v>179</v>
      </c>
      <c r="J52" s="19">
        <v>44166</v>
      </c>
      <c r="K52" s="27"/>
    </row>
    <row r="53" spans="5:11" ht="15" thickBot="1">
      <c r="E53" s="17" t="s">
        <v>267</v>
      </c>
      <c r="F53" s="17" t="s">
        <v>50</v>
      </c>
      <c r="G53" s="17" t="s">
        <v>198</v>
      </c>
      <c r="H53" s="20" t="s">
        <v>268</v>
      </c>
      <c r="I53" s="17" t="s">
        <v>195</v>
      </c>
      <c r="J53" s="19">
        <v>43557</v>
      </c>
      <c r="K53" s="27"/>
    </row>
    <row r="54" spans="5:11" ht="15" thickBot="1">
      <c r="E54" s="17" t="s">
        <v>267</v>
      </c>
      <c r="F54" s="17" t="s">
        <v>50</v>
      </c>
      <c r="G54" s="17" t="s">
        <v>198</v>
      </c>
      <c r="H54" s="20" t="s">
        <v>268</v>
      </c>
      <c r="I54" s="17" t="s">
        <v>195</v>
      </c>
      <c r="J54" s="20" t="s">
        <v>269</v>
      </c>
      <c r="K54" s="26"/>
    </row>
    <row r="55" spans="5:11" ht="15" thickBot="1">
      <c r="E55" s="17" t="s">
        <v>270</v>
      </c>
      <c r="F55" s="17" t="s">
        <v>55</v>
      </c>
      <c r="G55" s="17" t="s">
        <v>192</v>
      </c>
      <c r="H55" s="18">
        <v>96555.53</v>
      </c>
      <c r="I55" s="17" t="s">
        <v>195</v>
      </c>
      <c r="J55" s="19">
        <v>43744</v>
      </c>
      <c r="K55" s="27"/>
    </row>
    <row r="56" spans="5:11" ht="15" thickBot="1">
      <c r="E56" s="17" t="s">
        <v>271</v>
      </c>
      <c r="F56" s="17" t="s">
        <v>55</v>
      </c>
      <c r="G56" s="17" t="s">
        <v>210</v>
      </c>
      <c r="H56" s="18">
        <v>37839.269999999997</v>
      </c>
      <c r="I56" s="17" t="s">
        <v>195</v>
      </c>
      <c r="J56" s="19">
        <v>43564</v>
      </c>
      <c r="K56" s="27"/>
    </row>
    <row r="57" spans="5:11" ht="15" thickBot="1">
      <c r="E57" s="17" t="s">
        <v>272</v>
      </c>
      <c r="F57" s="17" t="s">
        <v>50</v>
      </c>
      <c r="G57" s="17" t="s">
        <v>210</v>
      </c>
      <c r="H57" s="18">
        <v>89838.77</v>
      </c>
      <c r="I57" s="17" t="s">
        <v>188</v>
      </c>
      <c r="J57" s="20" t="s">
        <v>273</v>
      </c>
      <c r="K57" s="26"/>
    </row>
    <row r="58" spans="5:11" ht="15" thickBot="1">
      <c r="E58" s="21" t="s">
        <v>274</v>
      </c>
      <c r="F58" s="22"/>
      <c r="G58" s="17" t="s">
        <v>210</v>
      </c>
      <c r="H58" s="20" t="s">
        <v>275</v>
      </c>
      <c r="I58" s="17" t="s">
        <v>179</v>
      </c>
      <c r="J58" s="20" t="s">
        <v>276</v>
      </c>
      <c r="K58" s="26"/>
    </row>
    <row r="59" spans="5:11" ht="15" thickBot="1">
      <c r="E59" s="21" t="s">
        <v>277</v>
      </c>
      <c r="F59" s="22"/>
      <c r="G59" s="17" t="s">
        <v>192</v>
      </c>
      <c r="H59" s="18">
        <v>70077.56</v>
      </c>
      <c r="I59" s="17" t="s">
        <v>179</v>
      </c>
      <c r="J59" s="20" t="s">
        <v>278</v>
      </c>
      <c r="K59" s="26"/>
    </row>
    <row r="60" spans="5:11" ht="15" thickBot="1">
      <c r="E60" s="17" t="s">
        <v>279</v>
      </c>
      <c r="F60" s="17" t="s">
        <v>50</v>
      </c>
      <c r="G60" s="17" t="s">
        <v>250</v>
      </c>
      <c r="H60" s="18">
        <v>99629.84</v>
      </c>
      <c r="I60" s="17" t="s">
        <v>188</v>
      </c>
      <c r="J60" s="20" t="s">
        <v>280</v>
      </c>
      <c r="K60" s="26"/>
    </row>
    <row r="61" spans="5:11" ht="15" thickBot="1">
      <c r="E61" s="17" t="s">
        <v>281</v>
      </c>
      <c r="F61" s="17" t="s">
        <v>50</v>
      </c>
      <c r="G61" s="17" t="s">
        <v>66</v>
      </c>
      <c r="H61" s="18">
        <v>70607.48</v>
      </c>
      <c r="I61" s="17" t="s">
        <v>179</v>
      </c>
      <c r="J61" s="20" t="s">
        <v>259</v>
      </c>
      <c r="K61" s="26"/>
    </row>
    <row r="62" spans="5:11" ht="15" thickBot="1">
      <c r="E62" s="17" t="s">
        <v>282</v>
      </c>
      <c r="F62" s="17" t="s">
        <v>55</v>
      </c>
      <c r="G62" s="17" t="s">
        <v>204</v>
      </c>
      <c r="H62" s="18">
        <v>80058.91</v>
      </c>
      <c r="I62" s="17" t="s">
        <v>195</v>
      </c>
      <c r="J62" s="19">
        <v>43531</v>
      </c>
      <c r="K62" s="27"/>
    </row>
    <row r="63" spans="5:11" ht="15" thickBot="1">
      <c r="E63" s="17" t="s">
        <v>283</v>
      </c>
      <c r="F63" s="17" t="s">
        <v>55</v>
      </c>
      <c r="G63" s="17" t="s">
        <v>181</v>
      </c>
      <c r="H63" s="18">
        <v>53919.5</v>
      </c>
      <c r="I63" s="17" t="s">
        <v>195</v>
      </c>
      <c r="J63" s="20" t="s">
        <v>284</v>
      </c>
      <c r="K63" s="26"/>
    </row>
    <row r="64" spans="5:11" ht="15" thickBot="1">
      <c r="E64" s="17" t="s">
        <v>285</v>
      </c>
      <c r="F64" s="17" t="s">
        <v>55</v>
      </c>
      <c r="G64" s="17" t="s">
        <v>70</v>
      </c>
      <c r="H64" s="20" t="s">
        <v>286</v>
      </c>
      <c r="I64" s="17" t="s">
        <v>179</v>
      </c>
      <c r="J64" s="19">
        <v>43717</v>
      </c>
      <c r="K64" s="27"/>
    </row>
    <row r="65" spans="5:11" ht="15" thickBot="1">
      <c r="E65" s="17" t="s">
        <v>287</v>
      </c>
      <c r="F65" s="17" t="s">
        <v>55</v>
      </c>
      <c r="G65" s="17" t="s">
        <v>198</v>
      </c>
      <c r="H65" s="18">
        <v>31923.48</v>
      </c>
      <c r="I65" s="17" t="s">
        <v>195</v>
      </c>
      <c r="J65" s="19">
        <v>43562</v>
      </c>
      <c r="K65" s="27"/>
    </row>
    <row r="66" spans="5:11" ht="15" thickBot="1">
      <c r="E66" s="17" t="s">
        <v>288</v>
      </c>
      <c r="F66" s="17" t="s">
        <v>55</v>
      </c>
      <c r="G66" s="17" t="s">
        <v>198</v>
      </c>
      <c r="H66" s="18">
        <v>96923.39</v>
      </c>
      <c r="I66" s="17" t="s">
        <v>188</v>
      </c>
      <c r="J66" s="19">
        <v>43654</v>
      </c>
      <c r="K66" s="27"/>
    </row>
    <row r="67" spans="5:11" ht="15" thickBot="1">
      <c r="E67" s="17" t="s">
        <v>289</v>
      </c>
      <c r="F67" s="17" t="s">
        <v>55</v>
      </c>
      <c r="G67" s="17" t="s">
        <v>208</v>
      </c>
      <c r="H67" s="18">
        <v>46163.82</v>
      </c>
      <c r="I67" s="17" t="s">
        <v>195</v>
      </c>
      <c r="J67" s="20" t="s">
        <v>290</v>
      </c>
      <c r="K67" s="26"/>
    </row>
    <row r="68" spans="5:11" ht="15" thickBot="1">
      <c r="E68" s="17" t="s">
        <v>291</v>
      </c>
      <c r="F68" s="17" t="s">
        <v>50</v>
      </c>
      <c r="G68" s="17" t="s">
        <v>70</v>
      </c>
      <c r="H68" s="18">
        <v>70227.899999999994</v>
      </c>
      <c r="I68" s="17" t="s">
        <v>195</v>
      </c>
      <c r="J68" s="19">
        <v>44171</v>
      </c>
      <c r="K68" s="27"/>
    </row>
    <row r="69" spans="5:11" ht="15" thickBot="1">
      <c r="E69" s="17" t="s">
        <v>292</v>
      </c>
      <c r="F69" s="17" t="s">
        <v>50</v>
      </c>
      <c r="G69" s="17" t="s">
        <v>198</v>
      </c>
      <c r="H69" s="18">
        <v>69117.17</v>
      </c>
      <c r="I69" s="17" t="s">
        <v>195</v>
      </c>
      <c r="J69" s="19">
        <v>43741</v>
      </c>
      <c r="K69" s="27"/>
    </row>
    <row r="70" spans="5:11" ht="15" thickBot="1">
      <c r="E70" s="17" t="s">
        <v>292</v>
      </c>
      <c r="F70" s="17" t="s">
        <v>50</v>
      </c>
      <c r="G70" s="17" t="s">
        <v>198</v>
      </c>
      <c r="H70" s="18">
        <v>69117.17</v>
      </c>
      <c r="I70" s="17" t="s">
        <v>188</v>
      </c>
      <c r="J70" s="19">
        <v>43533</v>
      </c>
      <c r="K70" s="27"/>
    </row>
    <row r="71" spans="5:11" ht="15" thickBot="1">
      <c r="E71" s="17" t="s">
        <v>293</v>
      </c>
      <c r="F71" s="17" t="s">
        <v>55</v>
      </c>
      <c r="G71" s="17" t="s">
        <v>185</v>
      </c>
      <c r="H71" s="18">
        <v>50813.58</v>
      </c>
      <c r="I71" s="17" t="s">
        <v>188</v>
      </c>
      <c r="J71" s="20" t="s">
        <v>294</v>
      </c>
      <c r="K71" s="26"/>
    </row>
    <row r="72" spans="5:11" ht="15" thickBot="1">
      <c r="E72" s="17" t="s">
        <v>295</v>
      </c>
      <c r="F72" s="17" t="s">
        <v>55</v>
      </c>
      <c r="G72" s="17" t="s">
        <v>187</v>
      </c>
      <c r="H72" s="18">
        <v>86942.2</v>
      </c>
      <c r="I72" s="17" t="s">
        <v>195</v>
      </c>
      <c r="J72" s="20" t="s">
        <v>296</v>
      </c>
      <c r="K72" s="26"/>
    </row>
    <row r="73" spans="5:11" ht="15" thickBot="1">
      <c r="E73" s="17" t="s">
        <v>295</v>
      </c>
      <c r="F73" s="17" t="s">
        <v>55</v>
      </c>
      <c r="G73" s="17" t="s">
        <v>187</v>
      </c>
      <c r="H73" s="18">
        <v>86942.2</v>
      </c>
      <c r="I73" s="17" t="s">
        <v>188</v>
      </c>
      <c r="J73" s="19">
        <v>44169</v>
      </c>
      <c r="K73" s="27"/>
    </row>
    <row r="74" spans="5:11" ht="15" thickBot="1">
      <c r="E74" s="21" t="s">
        <v>297</v>
      </c>
      <c r="F74" s="22"/>
      <c r="G74" s="17" t="s">
        <v>208</v>
      </c>
      <c r="H74" s="18">
        <v>67957.899999999994</v>
      </c>
      <c r="I74" s="17" t="s">
        <v>188</v>
      </c>
      <c r="J74" s="19">
        <v>43985</v>
      </c>
      <c r="K74" s="27"/>
    </row>
    <row r="75" spans="5:11" ht="15" thickBot="1">
      <c r="E75" s="21" t="s">
        <v>298</v>
      </c>
      <c r="F75" s="22"/>
      <c r="G75" s="17" t="s">
        <v>250</v>
      </c>
      <c r="H75" s="18">
        <v>98012.63</v>
      </c>
      <c r="I75" s="17" t="s">
        <v>179</v>
      </c>
      <c r="J75" s="20" t="s">
        <v>299</v>
      </c>
      <c r="K75" s="26"/>
    </row>
    <row r="76" spans="5:11" ht="15" thickBot="1">
      <c r="E76" s="17" t="s">
        <v>300</v>
      </c>
      <c r="F76" s="17" t="s">
        <v>50</v>
      </c>
      <c r="G76" s="17" t="s">
        <v>187</v>
      </c>
      <c r="H76" s="18">
        <v>78644.38</v>
      </c>
      <c r="I76" s="17" t="s">
        <v>179</v>
      </c>
      <c r="J76" s="20" t="s">
        <v>301</v>
      </c>
      <c r="K76" s="26"/>
    </row>
    <row r="77" spans="5:11" ht="15" thickBot="1">
      <c r="E77" s="17" t="s">
        <v>302</v>
      </c>
      <c r="F77" s="17" t="s">
        <v>50</v>
      </c>
      <c r="G77" s="17" t="s">
        <v>198</v>
      </c>
      <c r="H77" s="20" t="s">
        <v>303</v>
      </c>
      <c r="I77" s="17" t="s">
        <v>179</v>
      </c>
      <c r="J77" s="19">
        <v>43800</v>
      </c>
      <c r="K77" s="27"/>
    </row>
    <row r="78" spans="5:11" ht="15" thickBot="1">
      <c r="E78" s="17" t="s">
        <v>302</v>
      </c>
      <c r="F78" s="17" t="s">
        <v>50</v>
      </c>
      <c r="G78" s="17" t="s">
        <v>198</v>
      </c>
      <c r="H78" s="20" t="s">
        <v>303</v>
      </c>
      <c r="I78" s="17" t="s">
        <v>179</v>
      </c>
      <c r="J78" s="20" t="s">
        <v>304</v>
      </c>
      <c r="K78" s="26"/>
    </row>
    <row r="79" spans="5:11" ht="15" thickBot="1">
      <c r="E79" s="17" t="s">
        <v>305</v>
      </c>
      <c r="F79" s="17" t="s">
        <v>50</v>
      </c>
      <c r="G79" s="17" t="s">
        <v>208</v>
      </c>
      <c r="H79" s="20" t="s">
        <v>306</v>
      </c>
      <c r="I79" s="17" t="s">
        <v>188</v>
      </c>
      <c r="J79" s="20" t="s">
        <v>307</v>
      </c>
      <c r="K79" s="26"/>
    </row>
    <row r="80" spans="5:11" ht="15" thickBot="1">
      <c r="E80" s="17" t="s">
        <v>308</v>
      </c>
      <c r="F80" s="17" t="s">
        <v>55</v>
      </c>
      <c r="G80" s="17" t="s">
        <v>198</v>
      </c>
      <c r="H80" s="18">
        <v>38438.239999999998</v>
      </c>
      <c r="I80" s="17" t="s">
        <v>188</v>
      </c>
      <c r="J80" s="20" t="s">
        <v>309</v>
      </c>
      <c r="K80" s="26"/>
    </row>
    <row r="81" spans="5:11" ht="15" thickBot="1">
      <c r="E81" s="17" t="s">
        <v>308</v>
      </c>
      <c r="F81" s="17" t="s">
        <v>55</v>
      </c>
      <c r="G81" s="17" t="s">
        <v>198</v>
      </c>
      <c r="H81" s="18">
        <v>38438.239999999998</v>
      </c>
      <c r="I81" s="17" t="s">
        <v>179</v>
      </c>
      <c r="J81" s="20" t="s">
        <v>310</v>
      </c>
      <c r="K81" s="26"/>
    </row>
    <row r="82" spans="5:11" ht="15" thickBot="1">
      <c r="E82" s="17" t="s">
        <v>311</v>
      </c>
      <c r="F82" s="17" t="s">
        <v>50</v>
      </c>
      <c r="G82" s="17" t="s">
        <v>185</v>
      </c>
      <c r="H82" s="20" t="s">
        <v>312</v>
      </c>
      <c r="I82" s="17" t="s">
        <v>195</v>
      </c>
      <c r="J82" s="20" t="s">
        <v>313</v>
      </c>
      <c r="K82" s="26"/>
    </row>
    <row r="83" spans="5:11" ht="15" thickBot="1">
      <c r="E83" s="17" t="s">
        <v>314</v>
      </c>
      <c r="F83" s="17" t="s">
        <v>50</v>
      </c>
      <c r="G83" s="17" t="s">
        <v>66</v>
      </c>
      <c r="H83" s="18">
        <v>96753.78</v>
      </c>
      <c r="I83" s="17" t="s">
        <v>195</v>
      </c>
      <c r="J83" s="19">
        <v>44139</v>
      </c>
      <c r="K83" s="27"/>
    </row>
    <row r="84" spans="5:11" ht="15" thickBot="1">
      <c r="E84" s="17" t="s">
        <v>315</v>
      </c>
      <c r="F84" s="17" t="s">
        <v>50</v>
      </c>
      <c r="G84" s="17" t="s">
        <v>198</v>
      </c>
      <c r="H84" s="18">
        <v>66370.31</v>
      </c>
      <c r="I84" s="17" t="s">
        <v>188</v>
      </c>
      <c r="J84" s="19">
        <v>43658</v>
      </c>
      <c r="K84" s="27"/>
    </row>
    <row r="85" spans="5:11" ht="15" thickBot="1">
      <c r="E85" s="17" t="s">
        <v>315</v>
      </c>
      <c r="F85" s="17" t="s">
        <v>50</v>
      </c>
      <c r="G85" s="17" t="s">
        <v>198</v>
      </c>
      <c r="H85" s="18">
        <v>66370.31</v>
      </c>
      <c r="I85" s="17" t="s">
        <v>179</v>
      </c>
      <c r="J85" s="20" t="s">
        <v>259</v>
      </c>
      <c r="K85" s="26"/>
    </row>
    <row r="86" spans="5:11" ht="15" thickBot="1">
      <c r="E86" s="17" t="s">
        <v>316</v>
      </c>
      <c r="F86" s="17" t="s">
        <v>55</v>
      </c>
      <c r="G86" s="17" t="s">
        <v>317</v>
      </c>
      <c r="H86" s="18">
        <v>93883.79</v>
      </c>
      <c r="I86" s="17" t="s">
        <v>195</v>
      </c>
      <c r="J86" s="19">
        <v>44141</v>
      </c>
      <c r="K86" s="27"/>
    </row>
    <row r="87" spans="5:11" ht="15" thickBot="1">
      <c r="E87" s="17" t="s">
        <v>318</v>
      </c>
      <c r="F87" s="17" t="s">
        <v>50</v>
      </c>
      <c r="G87" s="17" t="s">
        <v>70</v>
      </c>
      <c r="H87" s="18">
        <v>40271.57</v>
      </c>
      <c r="I87" s="17" t="s">
        <v>195</v>
      </c>
      <c r="J87" s="20" t="s">
        <v>319</v>
      </c>
      <c r="K87" s="26"/>
    </row>
    <row r="88" spans="5:11" ht="15" thickBot="1">
      <c r="E88" s="17" t="s">
        <v>320</v>
      </c>
      <c r="F88" s="17" t="s">
        <v>50</v>
      </c>
      <c r="G88" s="17" t="s">
        <v>198</v>
      </c>
      <c r="H88" s="18">
        <v>63022.98</v>
      </c>
      <c r="I88" s="17" t="s">
        <v>188</v>
      </c>
      <c r="J88" s="19">
        <v>44075</v>
      </c>
      <c r="K88" s="27"/>
    </row>
    <row r="89" spans="5:11" ht="15" thickBot="1">
      <c r="E89" s="17" t="s">
        <v>321</v>
      </c>
      <c r="F89" s="17" t="s">
        <v>50</v>
      </c>
      <c r="G89" s="17" t="s">
        <v>192</v>
      </c>
      <c r="H89" s="18">
        <v>40404.47</v>
      </c>
      <c r="I89" s="17" t="s">
        <v>188</v>
      </c>
      <c r="J89" s="20" t="s">
        <v>322</v>
      </c>
      <c r="K89" s="26"/>
    </row>
    <row r="90" spans="5:11" ht="15" thickBot="1">
      <c r="E90" s="17" t="s">
        <v>323</v>
      </c>
      <c r="F90" s="17" t="s">
        <v>55</v>
      </c>
      <c r="G90" s="17" t="s">
        <v>181</v>
      </c>
      <c r="H90" s="18">
        <v>70649.460000000006</v>
      </c>
      <c r="I90" s="17" t="s">
        <v>195</v>
      </c>
      <c r="J90" s="20" t="s">
        <v>324</v>
      </c>
      <c r="K90" s="26"/>
    </row>
    <row r="91" spans="5:11" ht="15" thickBot="1">
      <c r="E91" s="17" t="s">
        <v>325</v>
      </c>
      <c r="F91" s="17" t="s">
        <v>55</v>
      </c>
      <c r="G91" s="17" t="s">
        <v>250</v>
      </c>
      <c r="H91" s="18">
        <v>33755.050000000003</v>
      </c>
      <c r="I91" s="17" t="s">
        <v>188</v>
      </c>
      <c r="J91" s="20" t="s">
        <v>326</v>
      </c>
      <c r="K91" s="26"/>
    </row>
    <row r="92" spans="5:11" ht="15" thickBot="1">
      <c r="E92" s="17" t="s">
        <v>327</v>
      </c>
      <c r="F92" s="17" t="s">
        <v>50</v>
      </c>
      <c r="G92" s="21" t="s">
        <v>250</v>
      </c>
      <c r="H92" s="22"/>
      <c r="I92" s="17" t="s">
        <v>179</v>
      </c>
      <c r="J92" s="19">
        <v>43742</v>
      </c>
      <c r="K92" s="27"/>
    </row>
    <row r="93" spans="5:11" ht="15" thickBot="1">
      <c r="E93" s="17" t="s">
        <v>328</v>
      </c>
      <c r="F93" s="17" t="s">
        <v>50</v>
      </c>
      <c r="G93" s="17" t="s">
        <v>210</v>
      </c>
      <c r="H93" s="20" t="s">
        <v>329</v>
      </c>
      <c r="I93" s="17" t="s">
        <v>188</v>
      </c>
      <c r="J93" s="19">
        <v>43686</v>
      </c>
      <c r="K93" s="27"/>
    </row>
    <row r="94" spans="5:11" ht="15" thickBot="1">
      <c r="E94" s="17" t="s">
        <v>330</v>
      </c>
      <c r="F94" s="17" t="s">
        <v>55</v>
      </c>
      <c r="G94" s="17" t="s">
        <v>192</v>
      </c>
      <c r="H94" s="20" t="s">
        <v>331</v>
      </c>
      <c r="I94" s="17" t="s">
        <v>188</v>
      </c>
      <c r="J94" s="19">
        <v>43687</v>
      </c>
      <c r="K94" s="2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selection activeCell="N4" sqref="N4"/>
    </sheetView>
  </sheetViews>
  <sheetFormatPr defaultRowHeight="14.4"/>
  <cols>
    <col min="1" max="1" width="8.88671875" style="30"/>
    <col min="2" max="2" width="10.33203125" style="30" bestFit="1" customWidth="1"/>
    <col min="3" max="5" width="8.88671875" style="30"/>
    <col min="6" max="6" width="11.44140625" style="30" bestFit="1" customWidth="1"/>
    <col min="7" max="7" width="8.88671875" style="30"/>
    <col min="14" max="14" width="9.5546875" bestFit="1" customWidth="1"/>
  </cols>
  <sheetData>
    <row r="1" spans="1:14">
      <c r="A1" s="30" t="s">
        <v>175</v>
      </c>
      <c r="B1" s="30" t="s">
        <v>176</v>
      </c>
      <c r="C1" s="30" t="s">
        <v>39</v>
      </c>
      <c r="D1" s="30" t="s">
        <v>41</v>
      </c>
      <c r="E1" s="30" t="s">
        <v>42</v>
      </c>
      <c r="F1" s="30" t="s">
        <v>44</v>
      </c>
      <c r="G1" s="30" t="s">
        <v>175</v>
      </c>
    </row>
    <row r="2" spans="1:14">
      <c r="A2" s="30" t="s">
        <v>179</v>
      </c>
      <c r="B2" s="31">
        <v>43924</v>
      </c>
      <c r="C2" s="30" t="s">
        <v>177</v>
      </c>
      <c r="D2" s="30" t="s">
        <v>50</v>
      </c>
      <c r="E2" s="30" t="s">
        <v>178</v>
      </c>
      <c r="F2" s="32">
        <v>82240.77</v>
      </c>
      <c r="G2" s="30" t="s">
        <v>179</v>
      </c>
    </row>
    <row r="3" spans="1:14">
      <c r="A3" s="30" t="s">
        <v>179</v>
      </c>
      <c r="B3" s="30" t="s">
        <v>183</v>
      </c>
      <c r="C3" s="30" t="s">
        <v>180</v>
      </c>
      <c r="D3" s="30" t="s">
        <v>55</v>
      </c>
      <c r="E3" s="30" t="s">
        <v>181</v>
      </c>
      <c r="F3" s="30" t="s">
        <v>182</v>
      </c>
      <c r="G3" s="30" t="s">
        <v>179</v>
      </c>
      <c r="N3" t="s">
        <v>338</v>
      </c>
    </row>
    <row r="4" spans="1:14">
      <c r="A4" s="30" t="s">
        <v>179</v>
      </c>
      <c r="B4" s="31">
        <v>43529</v>
      </c>
      <c r="C4" s="30" t="s">
        <v>184</v>
      </c>
      <c r="D4" s="30" t="s">
        <v>50</v>
      </c>
      <c r="E4" s="30" t="s">
        <v>185</v>
      </c>
      <c r="G4" s="30" t="s">
        <v>179</v>
      </c>
      <c r="J4" t="s">
        <v>337</v>
      </c>
      <c r="N4" s="5">
        <f>INDEX(B:B,MATCH(C2,C:C,0))</f>
        <v>43924</v>
      </c>
    </row>
    <row r="5" spans="1:14">
      <c r="A5" s="30" t="s">
        <v>188</v>
      </c>
      <c r="B5" s="30" t="s">
        <v>189</v>
      </c>
      <c r="C5" s="30" t="s">
        <v>186</v>
      </c>
      <c r="D5" s="30" t="s">
        <v>50</v>
      </c>
      <c r="E5" s="30" t="s">
        <v>187</v>
      </c>
      <c r="F5" s="32">
        <v>61624.77</v>
      </c>
      <c r="G5" s="30" t="s">
        <v>188</v>
      </c>
    </row>
    <row r="6" spans="1:14">
      <c r="A6" s="30" t="s">
        <v>179</v>
      </c>
      <c r="B6" s="30" t="s">
        <v>190</v>
      </c>
      <c r="C6" s="30" t="s">
        <v>186</v>
      </c>
      <c r="D6" s="30" t="s">
        <v>50</v>
      </c>
      <c r="E6" s="30" t="s">
        <v>187</v>
      </c>
      <c r="F6" s="32">
        <v>61624.77</v>
      </c>
      <c r="G6" s="30" t="s">
        <v>179</v>
      </c>
    </row>
    <row r="7" spans="1:14">
      <c r="A7" s="30" t="s">
        <v>179</v>
      </c>
      <c r="B7" s="30" t="s">
        <v>193</v>
      </c>
      <c r="C7" s="30" t="s">
        <v>191</v>
      </c>
      <c r="D7" s="30" t="s">
        <v>55</v>
      </c>
      <c r="E7" s="30" t="s">
        <v>192</v>
      </c>
      <c r="F7" s="32">
        <v>76998.38</v>
      </c>
      <c r="G7" s="30" t="s">
        <v>179</v>
      </c>
    </row>
    <row r="8" spans="1:14">
      <c r="A8" s="30" t="s">
        <v>195</v>
      </c>
      <c r="B8" s="30" t="s">
        <v>196</v>
      </c>
      <c r="C8" s="30" t="s">
        <v>194</v>
      </c>
      <c r="D8" s="30" t="s">
        <v>55</v>
      </c>
      <c r="E8" s="30" t="s">
        <v>187</v>
      </c>
      <c r="F8" s="32">
        <v>32716.22</v>
      </c>
      <c r="G8" s="30" t="s">
        <v>195</v>
      </c>
    </row>
    <row r="9" spans="1:14">
      <c r="A9" s="30" t="s">
        <v>179</v>
      </c>
      <c r="B9" s="31">
        <v>44142</v>
      </c>
      <c r="C9" s="30" t="s">
        <v>197</v>
      </c>
      <c r="D9" s="30" t="s">
        <v>55</v>
      </c>
      <c r="E9" s="30" t="s">
        <v>198</v>
      </c>
      <c r="F9" s="32">
        <v>72502.61</v>
      </c>
      <c r="G9" s="30" t="s">
        <v>179</v>
      </c>
    </row>
    <row r="10" spans="1:14">
      <c r="A10" s="30" t="s">
        <v>188</v>
      </c>
      <c r="B10" s="30" t="s">
        <v>199</v>
      </c>
      <c r="C10" s="30" t="s">
        <v>197</v>
      </c>
      <c r="D10" s="30" t="s">
        <v>55</v>
      </c>
      <c r="E10" s="30" t="s">
        <v>198</v>
      </c>
      <c r="F10" s="32">
        <v>72502.61</v>
      </c>
      <c r="G10" s="30" t="s">
        <v>188</v>
      </c>
    </row>
    <row r="11" spans="1:14">
      <c r="A11" s="30" t="s">
        <v>188</v>
      </c>
      <c r="B11" s="30" t="s">
        <v>201</v>
      </c>
      <c r="C11" s="30" t="s">
        <v>200</v>
      </c>
      <c r="D11" s="30" t="s">
        <v>50</v>
      </c>
      <c r="E11" s="30" t="s">
        <v>192</v>
      </c>
      <c r="F11" s="32">
        <v>28132.33</v>
      </c>
      <c r="G11" s="30" t="s">
        <v>188</v>
      </c>
    </row>
    <row r="12" spans="1:14">
      <c r="A12" s="30" t="s">
        <v>179</v>
      </c>
      <c r="B12" s="31">
        <v>43834</v>
      </c>
      <c r="C12" s="30" t="s">
        <v>202</v>
      </c>
      <c r="D12" s="30" t="s">
        <v>50</v>
      </c>
      <c r="E12" s="30" t="s">
        <v>198</v>
      </c>
      <c r="F12" s="32">
        <v>66461.919999999998</v>
      </c>
      <c r="G12" s="30" t="s">
        <v>179</v>
      </c>
    </row>
    <row r="13" spans="1:14">
      <c r="A13" s="30" t="s">
        <v>179</v>
      </c>
      <c r="B13" s="30" t="s">
        <v>205</v>
      </c>
      <c r="C13" s="30" t="s">
        <v>203</v>
      </c>
      <c r="D13" s="30" t="s">
        <v>50</v>
      </c>
      <c r="E13" s="30" t="s">
        <v>204</v>
      </c>
      <c r="F13" s="32">
        <v>95017.1</v>
      </c>
      <c r="G13" s="30" t="s">
        <v>179</v>
      </c>
    </row>
    <row r="14" spans="1:14">
      <c r="A14" s="30" t="s">
        <v>195</v>
      </c>
      <c r="B14" s="31">
        <v>43477</v>
      </c>
      <c r="C14" s="30" t="s">
        <v>206</v>
      </c>
      <c r="D14" s="30" t="s">
        <v>50</v>
      </c>
      <c r="E14" s="30" t="s">
        <v>204</v>
      </c>
      <c r="F14" s="32">
        <v>45512.1</v>
      </c>
      <c r="G14" s="30" t="s">
        <v>195</v>
      </c>
    </row>
    <row r="15" spans="1:14">
      <c r="A15" s="30" t="s">
        <v>179</v>
      </c>
      <c r="B15" s="31">
        <v>43499</v>
      </c>
      <c r="C15" s="30" t="s">
        <v>207</v>
      </c>
      <c r="D15" s="30" t="s">
        <v>55</v>
      </c>
      <c r="E15" s="30" t="s">
        <v>208</v>
      </c>
      <c r="F15" s="32">
        <v>41155.71</v>
      </c>
      <c r="G15" s="30" t="s">
        <v>179</v>
      </c>
    </row>
    <row r="16" spans="1:14">
      <c r="A16" s="30" t="s">
        <v>188</v>
      </c>
      <c r="B16" s="31">
        <v>43656</v>
      </c>
      <c r="C16" s="30" t="s">
        <v>207</v>
      </c>
      <c r="D16" s="30" t="s">
        <v>55</v>
      </c>
      <c r="E16" s="30" t="s">
        <v>208</v>
      </c>
      <c r="F16" s="32">
        <v>41155.71</v>
      </c>
      <c r="G16" s="30" t="s">
        <v>188</v>
      </c>
    </row>
    <row r="17" spans="1:7">
      <c r="A17" s="30" t="s">
        <v>179</v>
      </c>
      <c r="B17" s="30" t="s">
        <v>211</v>
      </c>
      <c r="C17" s="30" t="s">
        <v>209</v>
      </c>
      <c r="D17" s="30" t="s">
        <v>55</v>
      </c>
      <c r="E17" s="30" t="s">
        <v>210</v>
      </c>
      <c r="F17" s="32">
        <v>32496.880000000001</v>
      </c>
      <c r="G17" s="30" t="s">
        <v>179</v>
      </c>
    </row>
    <row r="18" spans="1:7">
      <c r="A18" s="30" t="s">
        <v>195</v>
      </c>
      <c r="B18" s="31">
        <v>43739</v>
      </c>
      <c r="C18" s="30" t="s">
        <v>212</v>
      </c>
      <c r="D18" s="30" t="s">
        <v>55</v>
      </c>
      <c r="E18" s="30" t="s">
        <v>70</v>
      </c>
      <c r="F18" s="32">
        <v>48591.73</v>
      </c>
      <c r="G18" s="30" t="s">
        <v>195</v>
      </c>
    </row>
    <row r="19" spans="1:7">
      <c r="A19" s="30" t="s">
        <v>179</v>
      </c>
      <c r="B19" s="30" t="s">
        <v>214</v>
      </c>
      <c r="C19" s="30" t="s">
        <v>213</v>
      </c>
      <c r="D19" s="30" t="s">
        <v>50</v>
      </c>
      <c r="E19" s="30" t="s">
        <v>198</v>
      </c>
      <c r="F19" s="32">
        <v>89960.6</v>
      </c>
      <c r="G19" s="30" t="s">
        <v>179</v>
      </c>
    </row>
    <row r="20" spans="1:7">
      <c r="A20" s="30" t="s">
        <v>188</v>
      </c>
      <c r="B20" s="30" t="s">
        <v>216</v>
      </c>
      <c r="C20" s="30" t="s">
        <v>215</v>
      </c>
      <c r="D20" s="30" t="s">
        <v>50</v>
      </c>
      <c r="E20" s="30" t="s">
        <v>181</v>
      </c>
      <c r="F20" s="32">
        <v>85918.61</v>
      </c>
      <c r="G20" s="30" t="s">
        <v>188</v>
      </c>
    </row>
    <row r="21" spans="1:7">
      <c r="A21" s="30" t="s">
        <v>179</v>
      </c>
      <c r="B21" s="30" t="s">
        <v>218</v>
      </c>
      <c r="C21" s="30" t="s">
        <v>217</v>
      </c>
      <c r="D21" s="30" t="s">
        <v>50</v>
      </c>
      <c r="E21" s="30" t="s">
        <v>187</v>
      </c>
      <c r="F21" s="32">
        <v>78443.78</v>
      </c>
      <c r="G21" s="30" t="s">
        <v>179</v>
      </c>
    </row>
    <row r="22" spans="1:7">
      <c r="A22" s="30" t="s">
        <v>188</v>
      </c>
      <c r="B22" s="31">
        <v>43747</v>
      </c>
      <c r="C22" s="30" t="s">
        <v>219</v>
      </c>
      <c r="D22" s="30" t="s">
        <v>50</v>
      </c>
      <c r="E22" s="30" t="s">
        <v>198</v>
      </c>
      <c r="F22" s="32">
        <v>37550.51</v>
      </c>
      <c r="G22" s="30" t="s">
        <v>188</v>
      </c>
    </row>
    <row r="23" spans="1:7">
      <c r="A23" s="30" t="s">
        <v>188</v>
      </c>
      <c r="B23" s="30" t="s">
        <v>189</v>
      </c>
      <c r="C23" s="30" t="s">
        <v>220</v>
      </c>
      <c r="D23" s="30" t="s">
        <v>50</v>
      </c>
      <c r="E23" s="30" t="s">
        <v>210</v>
      </c>
      <c r="F23" s="30" t="s">
        <v>221</v>
      </c>
      <c r="G23" s="30" t="s">
        <v>188</v>
      </c>
    </row>
    <row r="24" spans="1:7">
      <c r="A24" s="30" t="s">
        <v>188</v>
      </c>
      <c r="B24" s="30" t="s">
        <v>223</v>
      </c>
      <c r="C24" s="30" t="s">
        <v>222</v>
      </c>
      <c r="D24" s="30" t="s">
        <v>55</v>
      </c>
      <c r="E24" s="30" t="s">
        <v>66</v>
      </c>
      <c r="F24" s="32">
        <v>83748.259999999995</v>
      </c>
      <c r="G24" s="30" t="s">
        <v>188</v>
      </c>
    </row>
    <row r="25" spans="1:7">
      <c r="A25" s="30" t="s">
        <v>188</v>
      </c>
      <c r="B25" s="31">
        <v>43473</v>
      </c>
      <c r="C25" s="30" t="s">
        <v>224</v>
      </c>
      <c r="D25" s="30" t="s">
        <v>50</v>
      </c>
      <c r="E25" s="30" t="s">
        <v>198</v>
      </c>
      <c r="F25" s="32">
        <v>87806.25</v>
      </c>
      <c r="G25" s="30" t="s">
        <v>188</v>
      </c>
    </row>
    <row r="26" spans="1:7">
      <c r="A26" s="30" t="s">
        <v>179</v>
      </c>
      <c r="B26" s="30" t="s">
        <v>227</v>
      </c>
      <c r="C26" s="30" t="s">
        <v>225</v>
      </c>
      <c r="D26" s="30" t="s">
        <v>55</v>
      </c>
      <c r="E26" s="30" t="s">
        <v>70</v>
      </c>
      <c r="F26" s="30" t="s">
        <v>226</v>
      </c>
      <c r="G26" s="30" t="s">
        <v>179</v>
      </c>
    </row>
    <row r="27" spans="1:7">
      <c r="A27" s="30" t="s">
        <v>179</v>
      </c>
      <c r="B27" s="30" t="s">
        <v>229</v>
      </c>
      <c r="C27" s="30" t="s">
        <v>228</v>
      </c>
      <c r="D27" s="30" t="s">
        <v>50</v>
      </c>
      <c r="E27" s="30" t="s">
        <v>181</v>
      </c>
      <c r="F27" s="32">
        <v>80169.42</v>
      </c>
      <c r="G27" s="30" t="s">
        <v>179</v>
      </c>
    </row>
    <row r="28" spans="1:7">
      <c r="A28" s="30" t="s">
        <v>188</v>
      </c>
      <c r="B28" s="30" t="s">
        <v>231</v>
      </c>
      <c r="C28" s="30" t="s">
        <v>230</v>
      </c>
      <c r="D28" s="30" t="s">
        <v>55</v>
      </c>
      <c r="E28" s="30" t="s">
        <v>208</v>
      </c>
      <c r="F28" s="32">
        <v>71180.77</v>
      </c>
      <c r="G28" s="30" t="s">
        <v>188</v>
      </c>
    </row>
    <row r="29" spans="1:7">
      <c r="A29" s="30" t="s">
        <v>195</v>
      </c>
      <c r="B29" s="31">
        <v>44014</v>
      </c>
      <c r="C29" s="30" t="s">
        <v>232</v>
      </c>
      <c r="D29" s="30" t="s">
        <v>50</v>
      </c>
      <c r="E29" s="30" t="s">
        <v>181</v>
      </c>
      <c r="F29" s="32">
        <v>90884.32</v>
      </c>
      <c r="G29" s="30" t="s">
        <v>195</v>
      </c>
    </row>
    <row r="30" spans="1:7">
      <c r="A30" s="30" t="s">
        <v>188</v>
      </c>
      <c r="B30" s="31">
        <v>44111</v>
      </c>
      <c r="C30" s="30" t="s">
        <v>232</v>
      </c>
      <c r="D30" s="30" t="s">
        <v>50</v>
      </c>
      <c r="E30" s="30" t="s">
        <v>181</v>
      </c>
      <c r="F30" s="32">
        <v>90884.32</v>
      </c>
      <c r="G30" s="30" t="s">
        <v>188</v>
      </c>
    </row>
    <row r="31" spans="1:7">
      <c r="A31" s="30" t="s">
        <v>188</v>
      </c>
      <c r="B31" s="30" t="s">
        <v>234</v>
      </c>
      <c r="C31" s="30" t="s">
        <v>233</v>
      </c>
      <c r="D31" s="30" t="s">
        <v>50</v>
      </c>
      <c r="E31" s="30" t="s">
        <v>66</v>
      </c>
      <c r="F31" s="32">
        <v>60264.93</v>
      </c>
      <c r="G31" s="30" t="s">
        <v>188</v>
      </c>
    </row>
    <row r="32" spans="1:7">
      <c r="A32" s="30" t="s">
        <v>195</v>
      </c>
      <c r="B32" s="31">
        <v>43503</v>
      </c>
      <c r="C32" s="30" t="s">
        <v>235</v>
      </c>
      <c r="D32" s="30" t="s">
        <v>55</v>
      </c>
      <c r="E32" s="30" t="s">
        <v>210</v>
      </c>
      <c r="F32" s="32">
        <v>75733.740000000005</v>
      </c>
      <c r="G32" s="30" t="s">
        <v>195</v>
      </c>
    </row>
    <row r="33" spans="1:7">
      <c r="A33" s="30" t="s">
        <v>179</v>
      </c>
      <c r="B33" s="30" t="s">
        <v>237</v>
      </c>
      <c r="C33" s="30" t="s">
        <v>236</v>
      </c>
      <c r="D33" s="30" t="s">
        <v>55</v>
      </c>
      <c r="E33" s="30" t="s">
        <v>66</v>
      </c>
      <c r="F33" s="32">
        <v>60327.47</v>
      </c>
      <c r="G33" s="30" t="s">
        <v>179</v>
      </c>
    </row>
    <row r="34" spans="1:7">
      <c r="A34" s="30" t="s">
        <v>179</v>
      </c>
      <c r="B34" s="31">
        <v>43592</v>
      </c>
      <c r="C34" s="30" t="s">
        <v>238</v>
      </c>
      <c r="D34" s="30" t="s">
        <v>50</v>
      </c>
      <c r="E34" s="30" t="s">
        <v>187</v>
      </c>
      <c r="F34" s="30" t="s">
        <v>239</v>
      </c>
      <c r="G34" s="30" t="s">
        <v>179</v>
      </c>
    </row>
    <row r="35" spans="1:7">
      <c r="A35" s="30" t="s">
        <v>179</v>
      </c>
      <c r="B35" s="30" t="s">
        <v>241</v>
      </c>
      <c r="C35" s="30" t="s">
        <v>240</v>
      </c>
      <c r="D35" s="30" t="s">
        <v>55</v>
      </c>
      <c r="E35" s="30" t="s">
        <v>187</v>
      </c>
      <c r="F35" s="32">
        <v>37128.339999999997</v>
      </c>
      <c r="G35" s="30" t="s">
        <v>179</v>
      </c>
    </row>
    <row r="36" spans="1:7">
      <c r="A36" s="30" t="s">
        <v>195</v>
      </c>
      <c r="B36" s="30" t="s">
        <v>243</v>
      </c>
      <c r="C36" s="30" t="s">
        <v>242</v>
      </c>
      <c r="D36" s="30" t="s">
        <v>55</v>
      </c>
      <c r="E36" s="30" t="s">
        <v>208</v>
      </c>
      <c r="F36" s="32">
        <v>60576.12</v>
      </c>
      <c r="G36" s="30" t="s">
        <v>195</v>
      </c>
    </row>
    <row r="37" spans="1:7">
      <c r="A37" s="30" t="s">
        <v>179</v>
      </c>
      <c r="B37" s="31">
        <v>44017</v>
      </c>
      <c r="C37" s="30" t="s">
        <v>242</v>
      </c>
      <c r="D37" s="30" t="s">
        <v>55</v>
      </c>
      <c r="E37" s="30" t="s">
        <v>208</v>
      </c>
      <c r="F37" s="32">
        <v>60576.12</v>
      </c>
      <c r="G37" s="30" t="s">
        <v>179</v>
      </c>
    </row>
    <row r="38" spans="1:7">
      <c r="A38" s="30" t="s">
        <v>188</v>
      </c>
      <c r="B38" s="30" t="s">
        <v>245</v>
      </c>
      <c r="C38" s="30" t="s">
        <v>244</v>
      </c>
      <c r="E38" s="30" t="s">
        <v>187</v>
      </c>
      <c r="F38" s="32">
        <v>69457.740000000005</v>
      </c>
      <c r="G38" s="30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opLeftCell="C1" zoomScale="80" zoomScaleNormal="80" workbookViewId="0">
      <selection activeCell="H1" sqref="H1:H5"/>
    </sheetView>
  </sheetViews>
  <sheetFormatPr defaultRowHeight="14.4"/>
  <cols>
    <col min="10" max="10" width="10.109375" customWidth="1"/>
    <col min="16" max="16" width="4.6640625" customWidth="1"/>
    <col min="17" max="17" width="15.44140625" customWidth="1"/>
    <col min="18" max="18" width="13.33203125" bestFit="1" customWidth="1"/>
    <col min="19" max="19" width="9.33203125" customWidth="1"/>
    <col min="20" max="20" width="6.6640625" customWidth="1"/>
    <col min="22" max="22" width="13.88671875" bestFit="1" customWidth="1"/>
  </cols>
  <sheetData>
    <row r="1" spans="1:29">
      <c r="A1" t="s">
        <v>339</v>
      </c>
      <c r="B1" t="s">
        <v>340</v>
      </c>
      <c r="C1" t="s">
        <v>46</v>
      </c>
      <c r="D1" t="s">
        <v>40</v>
      </c>
      <c r="E1" t="s">
        <v>41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</row>
    <row r="2" spans="1:29">
      <c r="A2" t="s">
        <v>351</v>
      </c>
      <c r="B2" t="s">
        <v>49</v>
      </c>
      <c r="C2" t="s">
        <v>53</v>
      </c>
      <c r="D2">
        <v>28</v>
      </c>
      <c r="E2" t="s">
        <v>50</v>
      </c>
      <c r="F2" t="s">
        <v>7</v>
      </c>
      <c r="G2" t="s">
        <v>6</v>
      </c>
      <c r="H2">
        <v>55000</v>
      </c>
      <c r="I2">
        <v>1</v>
      </c>
      <c r="J2" s="5">
        <v>46027</v>
      </c>
      <c r="K2" t="s">
        <v>352</v>
      </c>
      <c r="L2">
        <v>300000</v>
      </c>
      <c r="M2">
        <v>5</v>
      </c>
      <c r="N2">
        <v>9.5</v>
      </c>
      <c r="O2" t="s">
        <v>353</v>
      </c>
      <c r="S2" t="s">
        <v>494</v>
      </c>
      <c r="T2" t="s">
        <v>497</v>
      </c>
    </row>
    <row r="3" spans="1:29">
      <c r="A3" t="s">
        <v>354</v>
      </c>
      <c r="B3" t="s">
        <v>54</v>
      </c>
      <c r="C3" t="s">
        <v>58</v>
      </c>
      <c r="D3">
        <v>32</v>
      </c>
      <c r="E3" t="s">
        <v>55</v>
      </c>
      <c r="F3" t="s">
        <v>355</v>
      </c>
      <c r="G3" t="s">
        <v>356</v>
      </c>
      <c r="H3">
        <v>2500</v>
      </c>
      <c r="I3">
        <v>2</v>
      </c>
      <c r="J3" s="5">
        <v>46029</v>
      </c>
      <c r="K3" t="s">
        <v>357</v>
      </c>
      <c r="L3">
        <v>150000</v>
      </c>
      <c r="M3">
        <v>3</v>
      </c>
      <c r="N3">
        <v>10.199999999999999</v>
      </c>
      <c r="O3" t="s">
        <v>353</v>
      </c>
      <c r="S3" t="s">
        <v>495</v>
      </c>
      <c r="T3" t="s">
        <v>496</v>
      </c>
    </row>
    <row r="4" spans="1:29">
      <c r="A4" t="s">
        <v>358</v>
      </c>
      <c r="B4" t="s">
        <v>59</v>
      </c>
      <c r="C4" t="s">
        <v>53</v>
      </c>
      <c r="D4">
        <v>41</v>
      </c>
      <c r="E4" t="s">
        <v>50</v>
      </c>
      <c r="F4" t="s">
        <v>14</v>
      </c>
      <c r="G4" t="s">
        <v>359</v>
      </c>
      <c r="H4">
        <v>4500</v>
      </c>
      <c r="I4">
        <v>4</v>
      </c>
      <c r="J4" s="5">
        <v>46032</v>
      </c>
      <c r="K4" t="s">
        <v>360</v>
      </c>
      <c r="L4">
        <v>500000</v>
      </c>
      <c r="M4">
        <v>7</v>
      </c>
      <c r="N4">
        <v>8.9</v>
      </c>
      <c r="O4" t="s">
        <v>353</v>
      </c>
    </row>
    <row r="5" spans="1:29">
      <c r="A5" t="s">
        <v>504</v>
      </c>
      <c r="B5" t="s">
        <v>361</v>
      </c>
      <c r="C5" t="s">
        <v>362</v>
      </c>
      <c r="D5">
        <v>26</v>
      </c>
      <c r="E5" t="s">
        <v>55</v>
      </c>
      <c r="F5" t="s">
        <v>7</v>
      </c>
      <c r="G5" t="s">
        <v>30</v>
      </c>
      <c r="H5">
        <v>1800</v>
      </c>
      <c r="I5">
        <v>1</v>
      </c>
      <c r="J5" s="5">
        <v>46034</v>
      </c>
      <c r="K5" t="s">
        <v>352</v>
      </c>
      <c r="L5">
        <v>100000</v>
      </c>
      <c r="M5">
        <v>2</v>
      </c>
      <c r="N5">
        <v>11.5</v>
      </c>
      <c r="O5" t="s">
        <v>363</v>
      </c>
      <c r="Q5" t="s">
        <v>498</v>
      </c>
      <c r="R5" t="s">
        <v>499</v>
      </c>
      <c r="S5" t="s">
        <v>500</v>
      </c>
    </row>
    <row r="6" spans="1:29">
      <c r="A6" t="s">
        <v>364</v>
      </c>
      <c r="B6" t="s">
        <v>65</v>
      </c>
      <c r="C6" t="s">
        <v>365</v>
      </c>
      <c r="D6">
        <v>35</v>
      </c>
      <c r="E6" t="s">
        <v>50</v>
      </c>
      <c r="F6" t="s">
        <v>7</v>
      </c>
      <c r="G6" t="s">
        <v>366</v>
      </c>
      <c r="H6">
        <v>22000</v>
      </c>
      <c r="I6">
        <v>1</v>
      </c>
      <c r="J6" s="5">
        <v>46037</v>
      </c>
      <c r="K6" t="s">
        <v>357</v>
      </c>
      <c r="L6">
        <v>250000</v>
      </c>
      <c r="M6">
        <v>4</v>
      </c>
      <c r="N6">
        <v>9.8000000000000007</v>
      </c>
      <c r="O6" t="s">
        <v>353</v>
      </c>
      <c r="Q6" t="s">
        <v>389</v>
      </c>
      <c r="R6" t="str">
        <f>VLOOKUP(Q6,A1:K51,11,0)</f>
        <v>Net Banking</v>
      </c>
      <c r="S6">
        <f>INDEX(L:L,MATCH(Q6,A:A,0))</f>
        <v>450000</v>
      </c>
    </row>
    <row r="7" spans="1:29">
      <c r="A7" t="s">
        <v>367</v>
      </c>
      <c r="B7" t="s">
        <v>368</v>
      </c>
      <c r="C7" t="s">
        <v>68</v>
      </c>
      <c r="D7">
        <v>29</v>
      </c>
      <c r="E7" t="s">
        <v>55</v>
      </c>
      <c r="F7" t="s">
        <v>369</v>
      </c>
      <c r="G7" t="s">
        <v>370</v>
      </c>
      <c r="H7">
        <v>3200</v>
      </c>
      <c r="I7">
        <v>3</v>
      </c>
      <c r="J7" s="5">
        <v>46040</v>
      </c>
      <c r="K7" t="s">
        <v>352</v>
      </c>
      <c r="L7">
        <v>180000</v>
      </c>
      <c r="M7">
        <v>3</v>
      </c>
      <c r="N7">
        <v>10.5</v>
      </c>
      <c r="O7" t="s">
        <v>353</v>
      </c>
      <c r="Q7" t="s">
        <v>394</v>
      </c>
      <c r="R7" t="str">
        <f t="shared" ref="R7:R10" si="0">VLOOKUP(Q7,A2:K52,11,0)</f>
        <v>UPI</v>
      </c>
      <c r="S7">
        <f t="shared" ref="S7:S10" si="1">INDEX(L:L,MATCH(Q7,A:A,0))</f>
        <v>300000</v>
      </c>
    </row>
    <row r="8" spans="1:29">
      <c r="A8" t="s">
        <v>371</v>
      </c>
      <c r="B8" t="s">
        <v>372</v>
      </c>
      <c r="C8" t="s">
        <v>86</v>
      </c>
      <c r="D8">
        <v>45</v>
      </c>
      <c r="E8" t="s">
        <v>50</v>
      </c>
      <c r="F8" t="s">
        <v>373</v>
      </c>
      <c r="G8" t="s">
        <v>374</v>
      </c>
      <c r="H8">
        <v>1200</v>
      </c>
      <c r="I8">
        <v>5</v>
      </c>
      <c r="J8" s="5">
        <v>46042</v>
      </c>
      <c r="K8" t="s">
        <v>375</v>
      </c>
      <c r="L8">
        <v>400000</v>
      </c>
      <c r="M8">
        <v>6</v>
      </c>
      <c r="N8">
        <v>9.1999999999999993</v>
      </c>
      <c r="O8" t="s">
        <v>353</v>
      </c>
      <c r="Q8" t="s">
        <v>417</v>
      </c>
      <c r="R8" t="str">
        <f t="shared" si="0"/>
        <v>UPI</v>
      </c>
      <c r="S8">
        <f t="shared" si="1"/>
        <v>70000</v>
      </c>
    </row>
    <row r="9" spans="1:29">
      <c r="A9" t="s">
        <v>376</v>
      </c>
      <c r="B9" t="s">
        <v>79</v>
      </c>
      <c r="C9" t="s">
        <v>53</v>
      </c>
      <c r="D9">
        <v>31</v>
      </c>
      <c r="E9" t="s">
        <v>55</v>
      </c>
      <c r="F9" t="s">
        <v>355</v>
      </c>
      <c r="G9" t="s">
        <v>377</v>
      </c>
      <c r="H9">
        <v>3500</v>
      </c>
      <c r="I9">
        <v>2</v>
      </c>
      <c r="J9" s="5">
        <v>46044</v>
      </c>
      <c r="K9" t="s">
        <v>352</v>
      </c>
      <c r="L9">
        <v>200000</v>
      </c>
      <c r="M9">
        <v>4</v>
      </c>
      <c r="N9">
        <v>10</v>
      </c>
      <c r="O9" t="s">
        <v>353</v>
      </c>
      <c r="Q9" t="s">
        <v>420</v>
      </c>
      <c r="R9" t="str">
        <f t="shared" si="0"/>
        <v>Credit Card</v>
      </c>
      <c r="S9">
        <f t="shared" si="1"/>
        <v>280000</v>
      </c>
      <c r="Z9" t="s">
        <v>513</v>
      </c>
    </row>
    <row r="10" spans="1:29">
      <c r="A10" t="s">
        <v>378</v>
      </c>
      <c r="B10" t="s">
        <v>379</v>
      </c>
      <c r="C10" t="s">
        <v>82</v>
      </c>
      <c r="D10">
        <v>38</v>
      </c>
      <c r="E10" t="s">
        <v>50</v>
      </c>
      <c r="F10" t="s">
        <v>7</v>
      </c>
      <c r="G10" t="s">
        <v>380</v>
      </c>
      <c r="H10">
        <v>18000</v>
      </c>
      <c r="I10">
        <v>1</v>
      </c>
      <c r="J10" s="5">
        <v>46047</v>
      </c>
      <c r="K10" t="s">
        <v>360</v>
      </c>
      <c r="L10">
        <v>350000</v>
      </c>
      <c r="M10">
        <v>5</v>
      </c>
      <c r="N10">
        <v>9.6999999999999993</v>
      </c>
      <c r="O10" t="s">
        <v>353</v>
      </c>
      <c r="Q10" t="s">
        <v>371</v>
      </c>
      <c r="R10" t="str">
        <f t="shared" si="0"/>
        <v>Cash</v>
      </c>
      <c r="S10">
        <f t="shared" si="1"/>
        <v>400000</v>
      </c>
    </row>
    <row r="11" spans="1:29">
      <c r="A11" t="s">
        <v>381</v>
      </c>
      <c r="B11" t="s">
        <v>382</v>
      </c>
      <c r="C11" t="s">
        <v>64</v>
      </c>
      <c r="D11">
        <v>27</v>
      </c>
      <c r="E11" t="s">
        <v>55</v>
      </c>
      <c r="F11" t="s">
        <v>383</v>
      </c>
      <c r="G11" t="s">
        <v>384</v>
      </c>
      <c r="H11">
        <v>4500</v>
      </c>
      <c r="I11">
        <v>1</v>
      </c>
      <c r="J11" s="5">
        <v>46050</v>
      </c>
      <c r="K11" t="s">
        <v>357</v>
      </c>
      <c r="L11">
        <v>120000</v>
      </c>
      <c r="M11">
        <v>2</v>
      </c>
      <c r="N11">
        <v>11.2</v>
      </c>
      <c r="O11" t="s">
        <v>363</v>
      </c>
    </row>
    <row r="12" spans="1:29">
      <c r="A12" t="s">
        <v>385</v>
      </c>
      <c r="B12" t="s">
        <v>386</v>
      </c>
      <c r="C12" t="s">
        <v>53</v>
      </c>
      <c r="D12">
        <v>33</v>
      </c>
      <c r="E12" t="s">
        <v>50</v>
      </c>
      <c r="F12" t="s">
        <v>7</v>
      </c>
      <c r="G12" t="s">
        <v>25</v>
      </c>
      <c r="H12">
        <v>15000</v>
      </c>
      <c r="I12">
        <v>2</v>
      </c>
      <c r="J12" s="5">
        <v>46055</v>
      </c>
      <c r="K12" t="s">
        <v>352</v>
      </c>
      <c r="L12">
        <v>275000</v>
      </c>
      <c r="M12">
        <v>5</v>
      </c>
      <c r="N12">
        <v>9.6</v>
      </c>
      <c r="O12" t="s">
        <v>353</v>
      </c>
      <c r="U12" s="33" t="s">
        <v>508</v>
      </c>
    </row>
    <row r="13" spans="1:29">
      <c r="A13" t="s">
        <v>387</v>
      </c>
      <c r="B13" t="s">
        <v>98</v>
      </c>
      <c r="C13" t="s">
        <v>99</v>
      </c>
      <c r="D13">
        <v>30</v>
      </c>
      <c r="E13" t="s">
        <v>55</v>
      </c>
      <c r="F13" t="s">
        <v>355</v>
      </c>
      <c r="G13" t="s">
        <v>388</v>
      </c>
      <c r="H13">
        <v>2800</v>
      </c>
      <c r="I13">
        <v>2</v>
      </c>
      <c r="J13" s="5">
        <v>46057</v>
      </c>
      <c r="K13" t="s">
        <v>352</v>
      </c>
      <c r="L13">
        <v>160000</v>
      </c>
      <c r="M13">
        <v>3</v>
      </c>
      <c r="N13">
        <v>10.4</v>
      </c>
      <c r="O13" t="s">
        <v>353</v>
      </c>
      <c r="U13" s="3" t="s">
        <v>505</v>
      </c>
      <c r="V13" s="3" t="s">
        <v>506</v>
      </c>
      <c r="W13" s="3" t="s">
        <v>507</v>
      </c>
      <c r="X13" s="3" t="s">
        <v>509</v>
      </c>
      <c r="Y13" s="3" t="s">
        <v>510</v>
      </c>
      <c r="Z13" s="3" t="s">
        <v>511</v>
      </c>
      <c r="AA13" s="3" t="s">
        <v>512</v>
      </c>
      <c r="AB13" s="3" t="s">
        <v>514</v>
      </c>
      <c r="AC13" s="3" t="s">
        <v>515</v>
      </c>
    </row>
    <row r="14" spans="1:29">
      <c r="A14" t="s">
        <v>389</v>
      </c>
      <c r="B14" t="s">
        <v>390</v>
      </c>
      <c r="C14" t="s">
        <v>86</v>
      </c>
      <c r="D14">
        <v>42</v>
      </c>
      <c r="E14" t="s">
        <v>50</v>
      </c>
      <c r="F14" t="s">
        <v>14</v>
      </c>
      <c r="G14" t="s">
        <v>391</v>
      </c>
      <c r="H14">
        <v>12000</v>
      </c>
      <c r="I14">
        <v>1</v>
      </c>
      <c r="J14" s="5">
        <v>46059</v>
      </c>
      <c r="K14" t="s">
        <v>360</v>
      </c>
      <c r="L14">
        <v>450000</v>
      </c>
      <c r="M14">
        <v>7</v>
      </c>
      <c r="N14">
        <v>8.8000000000000007</v>
      </c>
      <c r="O14" t="s">
        <v>353</v>
      </c>
      <c r="U14" t="str">
        <f>LOWER(B14:B19)</f>
        <v>manish jain</v>
      </c>
      <c r="V14" s="3" t="str">
        <f>UPPER(B14:B20)</f>
        <v>MANISH JAIN</v>
      </c>
      <c r="W14" t="str">
        <f>PROPER(B14)</f>
        <v>Manish Jain</v>
      </c>
      <c r="X14" t="str">
        <f>LEFT(U14,5)</f>
        <v>manis</v>
      </c>
      <c r="Y14" t="str">
        <f>RIGHT(W14,4)</f>
        <v>Jain</v>
      </c>
      <c r="Z14">
        <f>LEN(V14)</f>
        <v>11</v>
      </c>
      <c r="AA14" t="str">
        <f>TRIM(V14)</f>
        <v>MANISH JAIN</v>
      </c>
      <c r="AB14" t="str">
        <f>CONCATENATE(K15,L15)</f>
        <v>Credit Card80000</v>
      </c>
    </row>
    <row r="15" spans="1:29">
      <c r="A15" t="s">
        <v>392</v>
      </c>
      <c r="B15" t="s">
        <v>91</v>
      </c>
      <c r="C15" t="s">
        <v>53</v>
      </c>
      <c r="D15">
        <v>24</v>
      </c>
      <c r="E15" t="s">
        <v>55</v>
      </c>
      <c r="F15" t="s">
        <v>369</v>
      </c>
      <c r="G15" t="s">
        <v>393</v>
      </c>
      <c r="H15">
        <v>2200</v>
      </c>
      <c r="I15">
        <v>2</v>
      </c>
      <c r="J15" s="5">
        <v>46061</v>
      </c>
      <c r="K15" t="s">
        <v>357</v>
      </c>
      <c r="L15">
        <v>80000</v>
      </c>
      <c r="M15">
        <v>2</v>
      </c>
      <c r="N15">
        <v>12</v>
      </c>
      <c r="O15" t="s">
        <v>363</v>
      </c>
      <c r="Q15" s="3" t="s">
        <v>501</v>
      </c>
      <c r="R15">
        <f>VLOOKUP("Amit*",B1:O51,3,0)</f>
        <v>41</v>
      </c>
      <c r="U15" t="str">
        <f t="shared" ref="U15:U18" si="2">LOWER(B15:B20)</f>
        <v>riya kapoor</v>
      </c>
      <c r="V15" t="str">
        <f>UPPER(B15:B21)</f>
        <v>RIYA KAPOOR</v>
      </c>
      <c r="W15" t="str">
        <f t="shared" ref="W15:W18" si="3">PROPER(B15)</f>
        <v>Riya Kapoor</v>
      </c>
      <c r="X15" t="str">
        <f t="shared" ref="X15:X18" si="4">LEFT(U15,5)</f>
        <v xml:space="preserve">riya </v>
      </c>
      <c r="Y15" t="str">
        <f t="shared" ref="Y15:Y18" si="5">RIGHT(W15,4)</f>
        <v>poor</v>
      </c>
      <c r="Z15">
        <f t="shared" ref="Z15:Z18" si="6">LEN(V15)</f>
        <v>11</v>
      </c>
    </row>
    <row r="16" spans="1:29">
      <c r="A16" t="s">
        <v>394</v>
      </c>
      <c r="B16" t="s">
        <v>395</v>
      </c>
      <c r="C16" t="s">
        <v>106</v>
      </c>
      <c r="D16">
        <v>39</v>
      </c>
      <c r="E16" t="s">
        <v>50</v>
      </c>
      <c r="F16" t="s">
        <v>7</v>
      </c>
      <c r="G16" t="s">
        <v>396</v>
      </c>
      <c r="H16">
        <v>32000</v>
      </c>
      <c r="I16">
        <v>1</v>
      </c>
      <c r="J16" s="5">
        <v>46063</v>
      </c>
      <c r="K16" t="s">
        <v>352</v>
      </c>
      <c r="L16">
        <v>300000</v>
      </c>
      <c r="M16">
        <v>5</v>
      </c>
      <c r="N16">
        <v>9.9</v>
      </c>
      <c r="O16" t="s">
        <v>353</v>
      </c>
      <c r="U16" t="str">
        <f t="shared" si="2"/>
        <v>deepak verma</v>
      </c>
      <c r="V16" t="str">
        <f>UPPER(B16:B22)</f>
        <v>DEEPAK VERMA</v>
      </c>
      <c r="W16" t="str">
        <f t="shared" si="3"/>
        <v>Deepak Verma</v>
      </c>
      <c r="X16" t="str">
        <f t="shared" si="4"/>
        <v>deepa</v>
      </c>
      <c r="Y16" t="str">
        <f t="shared" si="5"/>
        <v>erma</v>
      </c>
      <c r="Z16">
        <f t="shared" si="6"/>
        <v>12</v>
      </c>
    </row>
    <row r="17" spans="1:26">
      <c r="A17" t="s">
        <v>397</v>
      </c>
      <c r="B17" t="s">
        <v>398</v>
      </c>
      <c r="C17" t="s">
        <v>90</v>
      </c>
      <c r="D17">
        <v>28</v>
      </c>
      <c r="E17" t="s">
        <v>55</v>
      </c>
      <c r="F17" t="s">
        <v>373</v>
      </c>
      <c r="G17" t="s">
        <v>399</v>
      </c>
      <c r="H17">
        <v>850</v>
      </c>
      <c r="I17">
        <v>4</v>
      </c>
      <c r="J17" s="5">
        <v>46065</v>
      </c>
      <c r="K17" t="s">
        <v>352</v>
      </c>
      <c r="L17">
        <v>175000</v>
      </c>
      <c r="M17">
        <v>3</v>
      </c>
      <c r="N17">
        <v>10.1</v>
      </c>
      <c r="O17" t="s">
        <v>353</v>
      </c>
      <c r="U17" t="str">
        <f t="shared" si="2"/>
        <v>sneha iyer</v>
      </c>
      <c r="V17" t="str">
        <f>UPPER(B17:B23)</f>
        <v>SNEHA IYER</v>
      </c>
      <c r="W17" t="str">
        <f t="shared" si="3"/>
        <v>Sneha Iyer</v>
      </c>
      <c r="X17" t="str">
        <f t="shared" si="4"/>
        <v>sneha</v>
      </c>
      <c r="Y17" t="str">
        <f t="shared" si="5"/>
        <v>Iyer</v>
      </c>
      <c r="Z17">
        <f t="shared" si="6"/>
        <v>10</v>
      </c>
    </row>
    <row r="18" spans="1:26">
      <c r="A18" t="s">
        <v>400</v>
      </c>
      <c r="B18" t="s">
        <v>401</v>
      </c>
      <c r="C18" t="s">
        <v>362</v>
      </c>
      <c r="D18">
        <v>36</v>
      </c>
      <c r="E18" t="s">
        <v>50</v>
      </c>
      <c r="F18" t="s">
        <v>14</v>
      </c>
      <c r="G18" t="s">
        <v>402</v>
      </c>
      <c r="H18">
        <v>28000</v>
      </c>
      <c r="I18">
        <v>1</v>
      </c>
      <c r="J18" s="5">
        <v>46068</v>
      </c>
      <c r="K18" t="s">
        <v>357</v>
      </c>
      <c r="L18">
        <v>550000</v>
      </c>
      <c r="M18">
        <v>8</v>
      </c>
      <c r="N18">
        <v>8.6999999999999993</v>
      </c>
      <c r="O18" t="s">
        <v>353</v>
      </c>
      <c r="Q18" t="s">
        <v>502</v>
      </c>
      <c r="R18">
        <f>VLOOKUP("*Rice*",G1:O51,2,0)</f>
        <v>1200</v>
      </c>
      <c r="U18" t="str">
        <f t="shared" si="2"/>
        <v>karan singh</v>
      </c>
      <c r="V18" t="str">
        <f>UPPER(B18:B24)</f>
        <v>KARAN SINGH</v>
      </c>
      <c r="W18" t="str">
        <f t="shared" si="3"/>
        <v>Karan Singh</v>
      </c>
      <c r="X18" t="str">
        <f t="shared" si="4"/>
        <v>karan</v>
      </c>
      <c r="Y18" t="str">
        <f t="shared" si="5"/>
        <v>ingh</v>
      </c>
      <c r="Z18">
        <f t="shared" si="6"/>
        <v>11</v>
      </c>
    </row>
    <row r="19" spans="1:26">
      <c r="A19" t="s">
        <v>403</v>
      </c>
      <c r="B19" t="s">
        <v>83</v>
      </c>
      <c r="C19" t="s">
        <v>68</v>
      </c>
      <c r="D19">
        <v>44</v>
      </c>
      <c r="E19" t="s">
        <v>55</v>
      </c>
      <c r="F19" t="s">
        <v>355</v>
      </c>
      <c r="G19" t="s">
        <v>404</v>
      </c>
      <c r="H19">
        <v>4200</v>
      </c>
      <c r="I19">
        <v>2</v>
      </c>
      <c r="J19" s="5">
        <v>46070</v>
      </c>
      <c r="K19" t="s">
        <v>360</v>
      </c>
      <c r="L19">
        <v>225000</v>
      </c>
      <c r="M19">
        <v>5</v>
      </c>
      <c r="N19">
        <v>9.8000000000000007</v>
      </c>
      <c r="O19" t="s">
        <v>353</v>
      </c>
      <c r="Q19" t="s">
        <v>503</v>
      </c>
      <c r="R19">
        <f>VLOOKUP("R*",B1:O51,7,0)</f>
        <v>55000</v>
      </c>
    </row>
    <row r="20" spans="1:26">
      <c r="A20" t="s">
        <v>405</v>
      </c>
      <c r="B20" t="s">
        <v>107</v>
      </c>
      <c r="C20" t="s">
        <v>53</v>
      </c>
      <c r="D20">
        <v>51</v>
      </c>
      <c r="E20" t="s">
        <v>50</v>
      </c>
      <c r="F20" t="s">
        <v>7</v>
      </c>
      <c r="G20" t="s">
        <v>406</v>
      </c>
      <c r="H20">
        <v>45000</v>
      </c>
      <c r="I20">
        <v>1</v>
      </c>
      <c r="J20" s="5">
        <v>46073</v>
      </c>
      <c r="K20" t="s">
        <v>352</v>
      </c>
      <c r="L20">
        <v>600000</v>
      </c>
      <c r="M20">
        <v>10</v>
      </c>
      <c r="N20">
        <v>8.5</v>
      </c>
      <c r="O20" t="s">
        <v>353</v>
      </c>
    </row>
    <row r="21" spans="1:26">
      <c r="A21" t="s">
        <v>407</v>
      </c>
      <c r="B21" t="s">
        <v>408</v>
      </c>
      <c r="C21" t="s">
        <v>58</v>
      </c>
      <c r="D21">
        <v>25</v>
      </c>
      <c r="E21" t="s">
        <v>55</v>
      </c>
      <c r="F21" t="s">
        <v>383</v>
      </c>
      <c r="G21" t="s">
        <v>409</v>
      </c>
      <c r="H21">
        <v>3800</v>
      </c>
      <c r="I21">
        <v>3</v>
      </c>
      <c r="J21" s="5">
        <v>46075</v>
      </c>
      <c r="K21" t="s">
        <v>357</v>
      </c>
      <c r="L21">
        <v>90000</v>
      </c>
      <c r="M21">
        <v>2</v>
      </c>
      <c r="N21">
        <v>11.8</v>
      </c>
      <c r="O21" t="s">
        <v>363</v>
      </c>
      <c r="R21" t="str">
        <f>VLOOKUP("*~",A1:F19,2,FALSE)</f>
        <v>Customer_Name</v>
      </c>
    </row>
    <row r="22" spans="1:26">
      <c r="A22" t="s">
        <v>410</v>
      </c>
      <c r="B22" t="s">
        <v>411</v>
      </c>
      <c r="C22" t="s">
        <v>365</v>
      </c>
      <c r="D22">
        <v>34</v>
      </c>
      <c r="E22" t="s">
        <v>50</v>
      </c>
      <c r="F22" t="s">
        <v>7</v>
      </c>
      <c r="G22" t="s">
        <v>10</v>
      </c>
      <c r="H22">
        <v>2500</v>
      </c>
      <c r="I22">
        <v>2</v>
      </c>
      <c r="J22" s="5">
        <v>46078</v>
      </c>
      <c r="K22" t="s">
        <v>352</v>
      </c>
      <c r="L22">
        <v>240000</v>
      </c>
      <c r="M22">
        <v>4</v>
      </c>
      <c r="N22">
        <v>10</v>
      </c>
      <c r="O22" t="s">
        <v>353</v>
      </c>
    </row>
    <row r="23" spans="1:26">
      <c r="A23" t="s">
        <v>412</v>
      </c>
      <c r="B23" t="s">
        <v>112</v>
      </c>
      <c r="C23" t="s">
        <v>74</v>
      </c>
      <c r="D23">
        <v>29</v>
      </c>
      <c r="E23" t="s">
        <v>55</v>
      </c>
      <c r="F23" t="s">
        <v>355</v>
      </c>
      <c r="G23" t="s">
        <v>413</v>
      </c>
      <c r="H23">
        <v>2200</v>
      </c>
      <c r="I23">
        <v>2</v>
      </c>
      <c r="J23" s="5">
        <v>46080</v>
      </c>
      <c r="K23" t="s">
        <v>375</v>
      </c>
      <c r="L23">
        <v>130000</v>
      </c>
      <c r="M23">
        <v>3</v>
      </c>
      <c r="N23">
        <v>10.6</v>
      </c>
      <c r="O23" t="s">
        <v>353</v>
      </c>
    </row>
    <row r="24" spans="1:26">
      <c r="A24" t="s">
        <v>414</v>
      </c>
      <c r="B24" t="s">
        <v>415</v>
      </c>
      <c r="C24" t="s">
        <v>53</v>
      </c>
      <c r="D24">
        <v>47</v>
      </c>
      <c r="E24" t="s">
        <v>50</v>
      </c>
      <c r="F24" t="s">
        <v>14</v>
      </c>
      <c r="G24" t="s">
        <v>416</v>
      </c>
      <c r="H24">
        <v>35000</v>
      </c>
      <c r="I24">
        <v>1</v>
      </c>
      <c r="J24" s="5">
        <v>46082</v>
      </c>
      <c r="K24" t="s">
        <v>360</v>
      </c>
      <c r="L24">
        <v>500000</v>
      </c>
      <c r="M24">
        <v>7</v>
      </c>
      <c r="N24">
        <v>9</v>
      </c>
      <c r="O24" t="s">
        <v>353</v>
      </c>
    </row>
    <row r="25" spans="1:26">
      <c r="A25" t="s">
        <v>417</v>
      </c>
      <c r="B25" t="s">
        <v>418</v>
      </c>
      <c r="C25" t="s">
        <v>362</v>
      </c>
      <c r="D25">
        <v>23</v>
      </c>
      <c r="E25" t="s">
        <v>55</v>
      </c>
      <c r="F25" t="s">
        <v>369</v>
      </c>
      <c r="G25" t="s">
        <v>419</v>
      </c>
      <c r="H25">
        <v>2900</v>
      </c>
      <c r="I25">
        <v>2</v>
      </c>
      <c r="J25" s="5">
        <v>46084</v>
      </c>
      <c r="K25" t="s">
        <v>352</v>
      </c>
      <c r="L25">
        <v>70000</v>
      </c>
      <c r="M25">
        <v>2</v>
      </c>
      <c r="N25">
        <v>12.5</v>
      </c>
      <c r="O25" t="s">
        <v>363</v>
      </c>
    </row>
    <row r="26" spans="1:26">
      <c r="A26" t="s">
        <v>420</v>
      </c>
      <c r="B26" t="s">
        <v>421</v>
      </c>
      <c r="C26" t="s">
        <v>86</v>
      </c>
      <c r="D26">
        <v>37</v>
      </c>
      <c r="E26" t="s">
        <v>50</v>
      </c>
      <c r="F26" t="s">
        <v>7</v>
      </c>
      <c r="G26" t="s">
        <v>422</v>
      </c>
      <c r="H26">
        <v>6500</v>
      </c>
      <c r="I26">
        <v>1</v>
      </c>
      <c r="J26" s="5">
        <v>46086</v>
      </c>
      <c r="K26" t="s">
        <v>357</v>
      </c>
      <c r="L26">
        <v>280000</v>
      </c>
      <c r="M26">
        <v>5</v>
      </c>
      <c r="N26">
        <v>9.4</v>
      </c>
      <c r="O26" t="s">
        <v>353</v>
      </c>
    </row>
    <row r="27" spans="1:26">
      <c r="A27" t="s">
        <v>423</v>
      </c>
      <c r="B27" t="s">
        <v>424</v>
      </c>
      <c r="C27" t="s">
        <v>103</v>
      </c>
      <c r="D27">
        <v>33</v>
      </c>
      <c r="E27" t="s">
        <v>55</v>
      </c>
      <c r="F27" t="s">
        <v>373</v>
      </c>
      <c r="G27" t="s">
        <v>425</v>
      </c>
      <c r="H27">
        <v>1800</v>
      </c>
      <c r="I27">
        <v>3</v>
      </c>
      <c r="J27" s="5">
        <v>46088</v>
      </c>
      <c r="K27" t="s">
        <v>352</v>
      </c>
      <c r="L27">
        <v>190000</v>
      </c>
      <c r="M27">
        <v>4</v>
      </c>
      <c r="N27">
        <v>10.3</v>
      </c>
      <c r="O27" t="s">
        <v>353</v>
      </c>
    </row>
    <row r="28" spans="1:26">
      <c r="A28" t="s">
        <v>426</v>
      </c>
      <c r="B28" t="s">
        <v>427</v>
      </c>
      <c r="C28" t="s">
        <v>106</v>
      </c>
      <c r="D28">
        <v>40</v>
      </c>
      <c r="E28" t="s">
        <v>50</v>
      </c>
      <c r="F28" t="s">
        <v>7</v>
      </c>
      <c r="G28" t="s">
        <v>428</v>
      </c>
      <c r="H28">
        <v>42000</v>
      </c>
      <c r="I28">
        <v>1</v>
      </c>
      <c r="J28" s="5">
        <v>46091</v>
      </c>
      <c r="K28" t="s">
        <v>360</v>
      </c>
      <c r="L28">
        <v>450000</v>
      </c>
      <c r="M28">
        <v>7</v>
      </c>
      <c r="N28">
        <v>8.9</v>
      </c>
      <c r="O28" t="s">
        <v>353</v>
      </c>
    </row>
    <row r="29" spans="1:26">
      <c r="A29" t="s">
        <v>429</v>
      </c>
      <c r="B29" t="s">
        <v>430</v>
      </c>
      <c r="C29" t="s">
        <v>53</v>
      </c>
      <c r="D29">
        <v>27</v>
      </c>
      <c r="E29" t="s">
        <v>55</v>
      </c>
      <c r="F29" t="s">
        <v>355</v>
      </c>
      <c r="G29" t="s">
        <v>431</v>
      </c>
      <c r="H29">
        <v>3200</v>
      </c>
      <c r="I29">
        <v>2</v>
      </c>
      <c r="J29" s="5">
        <v>46093</v>
      </c>
      <c r="K29" t="s">
        <v>352</v>
      </c>
      <c r="L29">
        <v>110000</v>
      </c>
      <c r="M29">
        <v>2</v>
      </c>
      <c r="N29">
        <v>11</v>
      </c>
      <c r="O29" t="s">
        <v>353</v>
      </c>
    </row>
    <row r="30" spans="1:26">
      <c r="A30" t="s">
        <v>432</v>
      </c>
      <c r="B30" t="s">
        <v>433</v>
      </c>
      <c r="C30" t="s">
        <v>64</v>
      </c>
      <c r="D30">
        <v>46</v>
      </c>
      <c r="E30" t="s">
        <v>50</v>
      </c>
      <c r="F30" t="s">
        <v>14</v>
      </c>
      <c r="G30" t="s">
        <v>434</v>
      </c>
      <c r="H30">
        <v>25000</v>
      </c>
      <c r="I30">
        <v>1</v>
      </c>
      <c r="J30" s="5">
        <v>46096</v>
      </c>
      <c r="K30" t="s">
        <v>357</v>
      </c>
      <c r="L30">
        <v>525000</v>
      </c>
      <c r="M30">
        <v>8</v>
      </c>
      <c r="N30">
        <v>8.6</v>
      </c>
      <c r="O30" t="s">
        <v>353</v>
      </c>
    </row>
    <row r="31" spans="1:26">
      <c r="A31" t="s">
        <v>435</v>
      </c>
      <c r="B31" t="s">
        <v>436</v>
      </c>
      <c r="C31" t="s">
        <v>82</v>
      </c>
      <c r="D31">
        <v>31</v>
      </c>
      <c r="E31" t="s">
        <v>55</v>
      </c>
      <c r="F31" t="s">
        <v>369</v>
      </c>
      <c r="G31" t="s">
        <v>437</v>
      </c>
      <c r="H31">
        <v>950</v>
      </c>
      <c r="I31">
        <v>4</v>
      </c>
      <c r="J31" s="5">
        <v>46098</v>
      </c>
      <c r="K31" t="s">
        <v>352</v>
      </c>
      <c r="L31">
        <v>145000</v>
      </c>
      <c r="M31">
        <v>3</v>
      </c>
      <c r="N31">
        <v>10.8</v>
      </c>
      <c r="O31" t="s">
        <v>353</v>
      </c>
    </row>
    <row r="32" spans="1:26">
      <c r="A32" t="s">
        <v>438</v>
      </c>
      <c r="B32" t="s">
        <v>439</v>
      </c>
      <c r="C32" t="s">
        <v>440</v>
      </c>
      <c r="D32">
        <v>35</v>
      </c>
      <c r="E32" t="s">
        <v>50</v>
      </c>
      <c r="F32" t="s">
        <v>7</v>
      </c>
      <c r="G32" t="s">
        <v>22</v>
      </c>
      <c r="H32">
        <v>12500</v>
      </c>
      <c r="I32">
        <v>1</v>
      </c>
      <c r="J32" s="5">
        <v>46101</v>
      </c>
      <c r="K32" t="s">
        <v>360</v>
      </c>
      <c r="L32">
        <v>260000</v>
      </c>
      <c r="M32">
        <v>5</v>
      </c>
      <c r="N32">
        <v>9.6999999999999993</v>
      </c>
      <c r="O32" t="s">
        <v>353</v>
      </c>
    </row>
    <row r="33" spans="1:15">
      <c r="A33" t="s">
        <v>441</v>
      </c>
      <c r="B33" t="s">
        <v>442</v>
      </c>
      <c r="C33" t="s">
        <v>53</v>
      </c>
      <c r="D33">
        <v>26</v>
      </c>
      <c r="E33" t="s">
        <v>55</v>
      </c>
      <c r="F33" t="s">
        <v>355</v>
      </c>
      <c r="G33" t="s">
        <v>443</v>
      </c>
      <c r="H33">
        <v>1200</v>
      </c>
      <c r="I33">
        <v>3</v>
      </c>
      <c r="J33" s="5">
        <v>46103</v>
      </c>
      <c r="K33" t="s">
        <v>352</v>
      </c>
      <c r="L33">
        <v>95000</v>
      </c>
      <c r="M33">
        <v>2</v>
      </c>
      <c r="N33">
        <v>11.4</v>
      </c>
      <c r="O33" t="s">
        <v>363</v>
      </c>
    </row>
    <row r="34" spans="1:15">
      <c r="A34" t="s">
        <v>444</v>
      </c>
      <c r="B34" t="s">
        <v>445</v>
      </c>
      <c r="C34" t="s">
        <v>99</v>
      </c>
      <c r="D34">
        <v>43</v>
      </c>
      <c r="E34" t="s">
        <v>50</v>
      </c>
      <c r="F34" t="s">
        <v>373</v>
      </c>
      <c r="G34" t="s">
        <v>446</v>
      </c>
      <c r="H34">
        <v>1600</v>
      </c>
      <c r="I34">
        <v>5</v>
      </c>
      <c r="J34" s="5">
        <v>46105</v>
      </c>
      <c r="K34" t="s">
        <v>375</v>
      </c>
      <c r="L34">
        <v>375000</v>
      </c>
      <c r="M34">
        <v>6</v>
      </c>
      <c r="N34">
        <v>9.1</v>
      </c>
      <c r="O34" t="s">
        <v>353</v>
      </c>
    </row>
    <row r="35" spans="1:15">
      <c r="A35" t="s">
        <v>447</v>
      </c>
      <c r="B35" t="s">
        <v>448</v>
      </c>
      <c r="C35" t="s">
        <v>362</v>
      </c>
      <c r="D35">
        <v>30</v>
      </c>
      <c r="E35" t="s">
        <v>55</v>
      </c>
      <c r="F35" t="s">
        <v>383</v>
      </c>
      <c r="G35" t="s">
        <v>449</v>
      </c>
      <c r="H35">
        <v>8500</v>
      </c>
      <c r="I35">
        <v>1</v>
      </c>
      <c r="J35" s="5">
        <v>46107</v>
      </c>
      <c r="K35" t="s">
        <v>357</v>
      </c>
      <c r="L35">
        <v>210000</v>
      </c>
      <c r="M35">
        <v>4</v>
      </c>
      <c r="N35">
        <v>10</v>
      </c>
      <c r="O35" t="s">
        <v>353</v>
      </c>
    </row>
    <row r="36" spans="1:15">
      <c r="A36" t="s">
        <v>450</v>
      </c>
      <c r="B36" t="s">
        <v>451</v>
      </c>
      <c r="C36" t="s">
        <v>53</v>
      </c>
      <c r="D36">
        <v>49</v>
      </c>
      <c r="E36" t="s">
        <v>50</v>
      </c>
      <c r="F36" t="s">
        <v>7</v>
      </c>
      <c r="G36" t="s">
        <v>452</v>
      </c>
      <c r="H36">
        <v>30000</v>
      </c>
      <c r="I36">
        <v>1</v>
      </c>
      <c r="J36" s="5">
        <v>46109</v>
      </c>
      <c r="K36" t="s">
        <v>352</v>
      </c>
      <c r="L36">
        <v>650000</v>
      </c>
      <c r="M36">
        <v>10</v>
      </c>
      <c r="N36">
        <v>8.4</v>
      </c>
      <c r="O36" t="s">
        <v>353</v>
      </c>
    </row>
    <row r="37" spans="1:15">
      <c r="A37" t="s">
        <v>453</v>
      </c>
      <c r="B37" t="s">
        <v>454</v>
      </c>
      <c r="C37" t="s">
        <v>86</v>
      </c>
      <c r="D37">
        <v>28</v>
      </c>
      <c r="E37" t="s">
        <v>55</v>
      </c>
      <c r="F37" t="s">
        <v>355</v>
      </c>
      <c r="G37" t="s">
        <v>455</v>
      </c>
      <c r="H37">
        <v>4500</v>
      </c>
      <c r="I37">
        <v>1</v>
      </c>
      <c r="J37" s="5">
        <v>46111</v>
      </c>
      <c r="K37" t="s">
        <v>352</v>
      </c>
      <c r="L37">
        <v>125000</v>
      </c>
      <c r="M37">
        <v>3</v>
      </c>
      <c r="N37">
        <v>10.7</v>
      </c>
      <c r="O37" t="s">
        <v>353</v>
      </c>
    </row>
    <row r="38" spans="1:15">
      <c r="A38" t="s">
        <v>456</v>
      </c>
      <c r="B38" t="s">
        <v>457</v>
      </c>
      <c r="C38" t="s">
        <v>365</v>
      </c>
      <c r="D38">
        <v>52</v>
      </c>
      <c r="E38" t="s">
        <v>50</v>
      </c>
      <c r="F38" t="s">
        <v>14</v>
      </c>
      <c r="G38" t="s">
        <v>458</v>
      </c>
      <c r="H38">
        <v>32000</v>
      </c>
      <c r="I38">
        <v>1</v>
      </c>
      <c r="J38" s="5">
        <v>46114</v>
      </c>
      <c r="K38" t="s">
        <v>360</v>
      </c>
      <c r="L38">
        <v>700000</v>
      </c>
      <c r="M38">
        <v>10</v>
      </c>
      <c r="N38">
        <v>8.3000000000000007</v>
      </c>
      <c r="O38" t="s">
        <v>353</v>
      </c>
    </row>
    <row r="39" spans="1:15">
      <c r="A39" t="s">
        <v>459</v>
      </c>
      <c r="B39" t="s">
        <v>460</v>
      </c>
      <c r="C39" t="s">
        <v>440</v>
      </c>
      <c r="D39">
        <v>25</v>
      </c>
      <c r="E39" t="s">
        <v>55</v>
      </c>
      <c r="F39" t="s">
        <v>369</v>
      </c>
      <c r="G39" t="s">
        <v>461</v>
      </c>
      <c r="H39">
        <v>750</v>
      </c>
      <c r="I39">
        <v>5</v>
      </c>
      <c r="J39" s="5">
        <v>46116</v>
      </c>
      <c r="K39" t="s">
        <v>357</v>
      </c>
      <c r="L39">
        <v>60000</v>
      </c>
      <c r="M39">
        <v>2</v>
      </c>
      <c r="N39">
        <v>12.8</v>
      </c>
      <c r="O39" t="s">
        <v>363</v>
      </c>
    </row>
    <row r="40" spans="1:15">
      <c r="A40" t="s">
        <v>462</v>
      </c>
      <c r="B40" t="s">
        <v>463</v>
      </c>
      <c r="C40" t="s">
        <v>106</v>
      </c>
      <c r="D40">
        <v>36</v>
      </c>
      <c r="E40" t="s">
        <v>50</v>
      </c>
      <c r="F40" t="s">
        <v>7</v>
      </c>
      <c r="G40" t="s">
        <v>464</v>
      </c>
      <c r="H40">
        <v>38000</v>
      </c>
      <c r="I40">
        <v>1</v>
      </c>
      <c r="J40" s="5">
        <v>46118</v>
      </c>
      <c r="K40" t="s">
        <v>352</v>
      </c>
      <c r="L40">
        <v>325000</v>
      </c>
      <c r="M40">
        <v>5</v>
      </c>
      <c r="N40">
        <v>9.5</v>
      </c>
      <c r="O40" t="s">
        <v>353</v>
      </c>
    </row>
    <row r="41" spans="1:15">
      <c r="A41" t="s">
        <v>465</v>
      </c>
      <c r="B41" t="s">
        <v>466</v>
      </c>
      <c r="C41" t="s">
        <v>68</v>
      </c>
      <c r="D41">
        <v>32</v>
      </c>
      <c r="E41" t="s">
        <v>55</v>
      </c>
      <c r="F41" t="s">
        <v>373</v>
      </c>
      <c r="G41" t="s">
        <v>467</v>
      </c>
      <c r="H41">
        <v>650</v>
      </c>
      <c r="I41">
        <v>6</v>
      </c>
      <c r="J41" s="5">
        <v>46120</v>
      </c>
      <c r="K41" t="s">
        <v>352</v>
      </c>
      <c r="L41">
        <v>155000</v>
      </c>
      <c r="M41">
        <v>3</v>
      </c>
      <c r="N41">
        <v>10.199999999999999</v>
      </c>
      <c r="O41" t="s">
        <v>353</v>
      </c>
    </row>
    <row r="42" spans="1:15">
      <c r="A42" t="s">
        <v>468</v>
      </c>
      <c r="B42" t="s">
        <v>469</v>
      </c>
      <c r="C42" t="s">
        <v>53</v>
      </c>
      <c r="D42">
        <v>29</v>
      </c>
      <c r="E42" t="s">
        <v>55</v>
      </c>
      <c r="F42" t="s">
        <v>7</v>
      </c>
      <c r="G42" t="s">
        <v>470</v>
      </c>
      <c r="H42">
        <v>2200</v>
      </c>
      <c r="I42">
        <v>2</v>
      </c>
      <c r="J42" s="5">
        <v>46122</v>
      </c>
      <c r="K42" t="s">
        <v>357</v>
      </c>
      <c r="L42">
        <v>100000</v>
      </c>
      <c r="M42">
        <v>2</v>
      </c>
      <c r="N42">
        <v>11.6</v>
      </c>
      <c r="O42" t="s">
        <v>353</v>
      </c>
    </row>
    <row r="43" spans="1:15">
      <c r="A43" t="s">
        <v>471</v>
      </c>
      <c r="B43" t="s">
        <v>472</v>
      </c>
      <c r="C43" t="s">
        <v>82</v>
      </c>
      <c r="D43">
        <v>45</v>
      </c>
      <c r="E43" t="s">
        <v>50</v>
      </c>
      <c r="F43" t="s">
        <v>14</v>
      </c>
      <c r="G43" t="s">
        <v>13</v>
      </c>
      <c r="H43">
        <v>7500</v>
      </c>
      <c r="I43">
        <v>2</v>
      </c>
      <c r="J43" s="5">
        <v>46124</v>
      </c>
      <c r="K43" t="s">
        <v>360</v>
      </c>
      <c r="L43">
        <v>420000</v>
      </c>
      <c r="M43">
        <v>6</v>
      </c>
      <c r="N43">
        <v>9</v>
      </c>
      <c r="O43" t="s">
        <v>353</v>
      </c>
    </row>
    <row r="44" spans="1:15">
      <c r="A44" t="s">
        <v>473</v>
      </c>
      <c r="B44" t="s">
        <v>474</v>
      </c>
      <c r="C44" t="s">
        <v>362</v>
      </c>
      <c r="D44">
        <v>34</v>
      </c>
      <c r="E44" t="s">
        <v>55</v>
      </c>
      <c r="F44" t="s">
        <v>355</v>
      </c>
      <c r="G44" t="s">
        <v>475</v>
      </c>
      <c r="H44">
        <v>1800</v>
      </c>
      <c r="I44">
        <v>3</v>
      </c>
      <c r="J44" s="5">
        <v>46127</v>
      </c>
      <c r="K44" t="s">
        <v>352</v>
      </c>
      <c r="L44">
        <v>140000</v>
      </c>
      <c r="M44">
        <v>3</v>
      </c>
      <c r="N44">
        <v>10.5</v>
      </c>
      <c r="O44" t="s">
        <v>353</v>
      </c>
    </row>
    <row r="45" spans="1:15">
      <c r="A45" t="s">
        <v>476</v>
      </c>
      <c r="B45" t="s">
        <v>477</v>
      </c>
      <c r="C45" t="s">
        <v>53</v>
      </c>
      <c r="D45">
        <v>55</v>
      </c>
      <c r="E45" t="s">
        <v>50</v>
      </c>
      <c r="F45" t="s">
        <v>7</v>
      </c>
      <c r="G45" t="s">
        <v>396</v>
      </c>
      <c r="H45">
        <v>35000</v>
      </c>
      <c r="I45">
        <v>1</v>
      </c>
      <c r="J45" s="5">
        <v>46129</v>
      </c>
      <c r="K45" t="s">
        <v>375</v>
      </c>
      <c r="L45">
        <v>800000</v>
      </c>
      <c r="M45">
        <v>10</v>
      </c>
      <c r="N45">
        <v>8.1999999999999993</v>
      </c>
      <c r="O45" t="s">
        <v>353</v>
      </c>
    </row>
    <row r="46" spans="1:15">
      <c r="A46" t="s">
        <v>478</v>
      </c>
      <c r="B46" t="s">
        <v>479</v>
      </c>
      <c r="C46" t="s">
        <v>58</v>
      </c>
      <c r="D46">
        <v>27</v>
      </c>
      <c r="E46" t="s">
        <v>55</v>
      </c>
      <c r="F46" t="s">
        <v>383</v>
      </c>
      <c r="G46" t="s">
        <v>480</v>
      </c>
      <c r="H46">
        <v>9500</v>
      </c>
      <c r="I46">
        <v>1</v>
      </c>
      <c r="J46" s="5">
        <v>46131</v>
      </c>
      <c r="K46" t="s">
        <v>357</v>
      </c>
      <c r="L46">
        <v>115000</v>
      </c>
      <c r="M46">
        <v>2</v>
      </c>
      <c r="N46">
        <v>11.1</v>
      </c>
      <c r="O46" t="s">
        <v>363</v>
      </c>
    </row>
    <row r="47" spans="1:15">
      <c r="A47" t="s">
        <v>481</v>
      </c>
      <c r="B47" t="s">
        <v>482</v>
      </c>
      <c r="C47" t="s">
        <v>86</v>
      </c>
      <c r="D47">
        <v>39</v>
      </c>
      <c r="E47" t="s">
        <v>50</v>
      </c>
      <c r="F47" t="s">
        <v>7</v>
      </c>
      <c r="G47" t="s">
        <v>483</v>
      </c>
      <c r="H47">
        <v>5500</v>
      </c>
      <c r="I47">
        <v>2</v>
      </c>
      <c r="J47" s="5">
        <v>46133</v>
      </c>
      <c r="K47" t="s">
        <v>352</v>
      </c>
      <c r="L47">
        <v>275000</v>
      </c>
      <c r="M47">
        <v>5</v>
      </c>
      <c r="N47">
        <v>9.6</v>
      </c>
      <c r="O47" t="s">
        <v>353</v>
      </c>
    </row>
    <row r="48" spans="1:15">
      <c r="A48" t="s">
        <v>484</v>
      </c>
      <c r="B48" t="s">
        <v>485</v>
      </c>
      <c r="C48" t="s">
        <v>53</v>
      </c>
      <c r="D48">
        <v>42</v>
      </c>
      <c r="E48" t="s">
        <v>55</v>
      </c>
      <c r="F48" t="s">
        <v>355</v>
      </c>
      <c r="G48" t="s">
        <v>486</v>
      </c>
      <c r="H48">
        <v>2100</v>
      </c>
      <c r="I48">
        <v>2</v>
      </c>
      <c r="J48" s="5">
        <v>46135</v>
      </c>
      <c r="K48" t="s">
        <v>360</v>
      </c>
      <c r="L48">
        <v>180000</v>
      </c>
      <c r="M48">
        <v>4</v>
      </c>
      <c r="N48">
        <v>10</v>
      </c>
      <c r="O48" t="s">
        <v>353</v>
      </c>
    </row>
    <row r="49" spans="1:15">
      <c r="A49" t="s">
        <v>487</v>
      </c>
      <c r="B49" t="s">
        <v>488</v>
      </c>
      <c r="C49" t="s">
        <v>365</v>
      </c>
      <c r="D49">
        <v>48</v>
      </c>
      <c r="E49" t="s">
        <v>50</v>
      </c>
      <c r="F49" t="s">
        <v>14</v>
      </c>
      <c r="G49" t="s">
        <v>28</v>
      </c>
      <c r="H49">
        <v>11000</v>
      </c>
      <c r="I49">
        <v>1</v>
      </c>
      <c r="J49" s="5">
        <v>46137</v>
      </c>
      <c r="K49" t="s">
        <v>352</v>
      </c>
      <c r="L49">
        <v>475000</v>
      </c>
      <c r="M49">
        <v>7</v>
      </c>
      <c r="N49">
        <v>8.8000000000000007</v>
      </c>
      <c r="O49" t="s">
        <v>353</v>
      </c>
    </row>
    <row r="50" spans="1:15">
      <c r="A50" t="s">
        <v>489</v>
      </c>
      <c r="B50" t="s">
        <v>490</v>
      </c>
      <c r="C50" t="s">
        <v>68</v>
      </c>
      <c r="D50">
        <v>30</v>
      </c>
      <c r="E50" t="s">
        <v>55</v>
      </c>
      <c r="F50" t="s">
        <v>369</v>
      </c>
      <c r="G50" t="s">
        <v>491</v>
      </c>
      <c r="H50">
        <v>900</v>
      </c>
      <c r="I50">
        <v>4</v>
      </c>
      <c r="J50" s="5">
        <v>46139</v>
      </c>
      <c r="K50" t="s">
        <v>357</v>
      </c>
      <c r="L50">
        <v>105000</v>
      </c>
      <c r="M50">
        <v>2</v>
      </c>
      <c r="N50">
        <v>11.3</v>
      </c>
      <c r="O50" t="s">
        <v>353</v>
      </c>
    </row>
    <row r="51" spans="1:15">
      <c r="A51" t="s">
        <v>492</v>
      </c>
      <c r="B51" t="s">
        <v>493</v>
      </c>
      <c r="C51" t="s">
        <v>53</v>
      </c>
      <c r="D51">
        <v>37</v>
      </c>
      <c r="E51" t="s">
        <v>50</v>
      </c>
      <c r="F51" t="s">
        <v>7</v>
      </c>
      <c r="G51" t="s">
        <v>6</v>
      </c>
      <c r="H51">
        <v>62000</v>
      </c>
      <c r="I51">
        <v>1</v>
      </c>
      <c r="J51" s="5">
        <v>46142</v>
      </c>
      <c r="K51" t="s">
        <v>352</v>
      </c>
      <c r="L51">
        <v>350000</v>
      </c>
      <c r="M51">
        <v>5</v>
      </c>
      <c r="N51">
        <v>9.3000000000000007</v>
      </c>
      <c r="O51" t="s">
        <v>353</v>
      </c>
    </row>
  </sheetData>
  <autoFilter ref="A1:O5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topLeftCell="A2" workbookViewId="0">
      <selection activeCell="I17" sqref="I17"/>
    </sheetView>
  </sheetViews>
  <sheetFormatPr defaultRowHeight="14.4"/>
  <cols>
    <col min="2" max="2" width="13.21875" bestFit="1" customWidth="1"/>
    <col min="3" max="3" width="12.88671875" bestFit="1" customWidth="1"/>
    <col min="6" max="6" width="14.21875" bestFit="1" customWidth="1"/>
    <col min="8" max="8" width="14.21875" bestFit="1" customWidth="1"/>
    <col min="9" max="9" width="13.21875" bestFit="1" customWidth="1"/>
    <col min="13" max="13" width="14.6640625" bestFit="1" customWidth="1"/>
    <col min="14" max="14" width="13.6640625" bestFit="1" customWidth="1"/>
  </cols>
  <sheetData>
    <row r="1" spans="1:16">
      <c r="A1" s="33" t="s">
        <v>508</v>
      </c>
    </row>
    <row r="2" spans="1:16">
      <c r="A2" s="3" t="s">
        <v>505</v>
      </c>
      <c r="B2" s="3" t="s">
        <v>506</v>
      </c>
      <c r="C2" s="3" t="s">
        <v>507</v>
      </c>
      <c r="D2" s="3" t="s">
        <v>509</v>
      </c>
      <c r="E2" s="3" t="s">
        <v>510</v>
      </c>
      <c r="F2" s="3" t="s">
        <v>511</v>
      </c>
      <c r="G2" s="3" t="s">
        <v>512</v>
      </c>
      <c r="H2" s="3" t="s">
        <v>514</v>
      </c>
      <c r="I2" s="3" t="s">
        <v>515</v>
      </c>
      <c r="J2" s="3" t="s">
        <v>537</v>
      </c>
      <c r="L2" s="3" t="s">
        <v>541</v>
      </c>
    </row>
    <row r="3" spans="1:16">
      <c r="A3" t="s">
        <v>516</v>
      </c>
      <c r="B3" s="3" t="s">
        <v>517</v>
      </c>
      <c r="C3" t="s">
        <v>390</v>
      </c>
      <c r="D3" t="s">
        <v>518</v>
      </c>
      <c r="E3" t="s">
        <v>519</v>
      </c>
      <c r="F3">
        <v>11</v>
      </c>
      <c r="G3" t="s">
        <v>517</v>
      </c>
      <c r="H3" t="s">
        <v>520</v>
      </c>
      <c r="J3">
        <f>FIND("re",H3)</f>
        <v>2</v>
      </c>
      <c r="L3">
        <f>SEARCH("i",C3,5)</f>
        <v>10</v>
      </c>
    </row>
    <row r="4" spans="1:16">
      <c r="A4" t="s">
        <v>521</v>
      </c>
      <c r="B4" t="s">
        <v>522</v>
      </c>
      <c r="C4" t="s">
        <v>91</v>
      </c>
      <c r="D4" t="s">
        <v>523</v>
      </c>
      <c r="E4" t="s">
        <v>524</v>
      </c>
      <c r="F4">
        <v>11</v>
      </c>
    </row>
    <row r="5" spans="1:16">
      <c r="A5" t="s">
        <v>525</v>
      </c>
      <c r="B5" t="s">
        <v>526</v>
      </c>
      <c r="C5" t="s">
        <v>395</v>
      </c>
      <c r="D5" t="s">
        <v>527</v>
      </c>
      <c r="E5" t="s">
        <v>528</v>
      </c>
      <c r="F5">
        <v>12</v>
      </c>
    </row>
    <row r="6" spans="1:16">
      <c r="A6" t="s">
        <v>529</v>
      </c>
      <c r="B6" t="s">
        <v>530</v>
      </c>
      <c r="C6" t="s">
        <v>398</v>
      </c>
      <c r="D6" t="s">
        <v>531</v>
      </c>
      <c r="E6" t="s">
        <v>532</v>
      </c>
      <c r="F6">
        <v>10</v>
      </c>
      <c r="M6" s="34" t="s">
        <v>538</v>
      </c>
      <c r="N6">
        <f>FIND("@",M6)</f>
        <v>4</v>
      </c>
      <c r="P6" t="str">
        <f>MID(FIND("@",M6),1,5)</f>
        <v>4</v>
      </c>
    </row>
    <row r="7" spans="1:16">
      <c r="A7" t="s">
        <v>533</v>
      </c>
      <c r="B7" t="s">
        <v>534</v>
      </c>
      <c r="C7" t="s">
        <v>401</v>
      </c>
      <c r="D7" t="s">
        <v>535</v>
      </c>
      <c r="E7" t="s">
        <v>536</v>
      </c>
      <c r="F7">
        <v>11</v>
      </c>
      <c r="M7" s="34" t="s">
        <v>540</v>
      </c>
      <c r="N7">
        <f>FIND(".",M6)</f>
        <v>10</v>
      </c>
    </row>
    <row r="8" spans="1:16">
      <c r="P8" s="37" t="s">
        <v>539</v>
      </c>
    </row>
    <row r="9" spans="1:16">
      <c r="P9" s="36" t="str">
        <f>MID(M6,FIND("@",M6)+1,FIND(".",M6)-FIND("@",M6)-1)</f>
        <v>gmail</v>
      </c>
    </row>
    <row r="10" spans="1:16">
      <c r="N10" t="str">
        <f>MID("gmail",1,5)</f>
        <v>gmail</v>
      </c>
      <c r="P10" s="36" t="str">
        <f>MID(M7,FIND("@",M7)+1,FIND(".",M7)-FIND("@",M7)-1)</f>
        <v>yahoo1</v>
      </c>
    </row>
    <row r="12" spans="1:16">
      <c r="H12" t="s">
        <v>542</v>
      </c>
    </row>
    <row r="13" spans="1:16">
      <c r="H13" t="s">
        <v>543</v>
      </c>
    </row>
    <row r="17" spans="1:15">
      <c r="A17" s="40" t="s">
        <v>544</v>
      </c>
      <c r="F17" t="s">
        <v>343</v>
      </c>
      <c r="M17" s="40" t="s">
        <v>557</v>
      </c>
    </row>
    <row r="18" spans="1:15">
      <c r="A18" t="s">
        <v>545</v>
      </c>
      <c r="F18" s="38">
        <v>55000.02</v>
      </c>
      <c r="H18" s="39">
        <f>ROUND(F18,1)</f>
        <v>55000</v>
      </c>
      <c r="M18" t="s">
        <v>558</v>
      </c>
      <c r="N18" s="5">
        <f ca="1">TODAY()</f>
        <v>46271</v>
      </c>
    </row>
    <row r="19" spans="1:15">
      <c r="A19" t="s">
        <v>546</v>
      </c>
      <c r="F19" s="38">
        <v>2500.04567</v>
      </c>
      <c r="H19" s="39">
        <f>ROUND(F19,2)</f>
        <v>2500.0500000000002</v>
      </c>
      <c r="M19" t="s">
        <v>559</v>
      </c>
      <c r="N19" s="41">
        <f ca="1">NOW()</f>
        <v>46271.821923495372</v>
      </c>
    </row>
    <row r="20" spans="1:15">
      <c r="A20" t="s">
        <v>547</v>
      </c>
      <c r="F20" s="38">
        <v>4500</v>
      </c>
      <c r="H20" s="39">
        <f>ROUNDUP(F19,4)</f>
        <v>2500.0457000000001</v>
      </c>
      <c r="I20" s="39">
        <f>ROUNDDOWN(F19,4)</f>
        <v>2500.0455999999999</v>
      </c>
      <c r="M20" t="s">
        <v>560</v>
      </c>
      <c r="N20">
        <f ca="1">MONTH(N18)</f>
        <v>9</v>
      </c>
    </row>
    <row r="21" spans="1:15">
      <c r="A21" t="s">
        <v>548</v>
      </c>
      <c r="F21" s="38">
        <v>1800.123456</v>
      </c>
      <c r="M21" t="s">
        <v>561</v>
      </c>
      <c r="N21">
        <f ca="1">DAY(N18)</f>
        <v>6</v>
      </c>
    </row>
    <row r="22" spans="1:15">
      <c r="A22" t="s">
        <v>549</v>
      </c>
      <c r="M22" t="s">
        <v>562</v>
      </c>
      <c r="N22">
        <f ca="1">YEAR(N18)</f>
        <v>2026</v>
      </c>
    </row>
    <row r="23" spans="1:15">
      <c r="A23" t="s">
        <v>550</v>
      </c>
    </row>
    <row r="24" spans="1:15">
      <c r="A24" t="s">
        <v>551</v>
      </c>
      <c r="B24" t="s">
        <v>552</v>
      </c>
      <c r="H24">
        <v>10</v>
      </c>
    </row>
    <row r="25" spans="1:15">
      <c r="A25" t="s">
        <v>553</v>
      </c>
      <c r="B25" s="39">
        <f>MOD(H24,4)</f>
        <v>2</v>
      </c>
      <c r="C25" t="s">
        <v>555</v>
      </c>
      <c r="K25" s="5"/>
      <c r="M25" s="5">
        <f ca="1">TODAY()</f>
        <v>46271</v>
      </c>
    </row>
    <row r="26" spans="1:15">
      <c r="A26" t="s">
        <v>554</v>
      </c>
      <c r="B26" s="39">
        <f>INT(F21)</f>
        <v>1800</v>
      </c>
      <c r="C26" t="s">
        <v>556</v>
      </c>
      <c r="J26" s="42"/>
      <c r="M26" s="5">
        <v>33190</v>
      </c>
      <c r="N26" s="35">
        <f ca="1">YEAR(M25)</f>
        <v>2026</v>
      </c>
    </row>
    <row r="27" spans="1:15">
      <c r="N27">
        <f>YEAR(M26)</f>
        <v>1990</v>
      </c>
      <c r="O27">
        <f ca="1">(YEAR(M25)-YEAR(M26))</f>
        <v>36</v>
      </c>
    </row>
  </sheetData>
  <hyperlinks>
    <hyperlink ref="M6" r:id="rId1"/>
    <hyperlink ref="M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</vt:lpstr>
      <vt:lpstr>xlookup</vt:lpstr>
      <vt:lpstr>Sheet3</vt:lpstr>
      <vt:lpstr>hllokup</vt:lpstr>
      <vt:lpstr>Match</vt:lpstr>
      <vt:lpstr>Sheet6</vt:lpstr>
      <vt:lpstr>0906</vt:lpstr>
      <vt:lpstr>index match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Sammer Sammer</dc:creator>
  <cp:lastModifiedBy>Sammer Sammer</cp:lastModifiedBy>
  <dcterms:created xsi:type="dcterms:W3CDTF">2026-09-05T10:56:57Z</dcterms:created>
  <dcterms:modified xsi:type="dcterms:W3CDTF">2026-09-06T14:23:34Z</dcterms:modified>
</cp:coreProperties>
</file>